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현재_통합_문서"/>
  <mc:AlternateContent xmlns:mc="http://schemas.openxmlformats.org/markup-compatibility/2006">
    <mc:Choice Requires="x15">
      <x15ac:absPath xmlns:x15ac="http://schemas.microsoft.com/office/spreadsheetml/2010/11/ac" url="C:\Users\MZC01-MICHAEL\Desktop\"/>
    </mc:Choice>
  </mc:AlternateContent>
  <xr:revisionPtr revIDLastSave="0" documentId="13_ncr:1_{9140EEA6-BF50-45DD-902D-5A62A7B843D2}" xr6:coauthVersionLast="47" xr6:coauthVersionMax="47" xr10:uidLastSave="{00000000-0000-0000-0000-000000000000}"/>
  <bookViews>
    <workbookView xWindow="19575" yWindow="2535" windowWidth="29010" windowHeight="15345" activeTab="1" xr2:uid="{00000000-000D-0000-FFFF-FFFF00000000}"/>
  </bookViews>
  <sheets>
    <sheet name="문서 개요" sheetId="1" r:id="rId1"/>
    <sheet name="고객사점검표" sheetId="2" r:id="rId2"/>
    <sheet name="고객사제공(new)" sheetId="3" r:id="rId3"/>
  </sheets>
  <definedNames>
    <definedName name="_xlnm._FilterDatabase" localSheetId="1" hidden="1">고객사점검표!$A$1:$H$91</definedName>
    <definedName name="점검결과">#REF!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DRCwoU9C9a8uk/R+pmOUPyQFWRsMPHeP92d1xB4HEbw="/>
    </ext>
  </extLst>
</workbook>
</file>

<file path=xl/calcChain.xml><?xml version="1.0" encoding="utf-8"?>
<calcChain xmlns="http://schemas.openxmlformats.org/spreadsheetml/2006/main">
  <c r="C139" i="3" l="1" a="1"/>
  <c r="C139" i="3" s="1"/>
  <c r="B139" i="3" a="1"/>
  <c r="B139" i="3" s="1"/>
  <c r="G138" i="3" a="1"/>
  <c r="G138" i="3" s="1"/>
  <c r="C138" i="3" a="1"/>
  <c r="C138" i="3" s="1"/>
  <c r="B138" i="3" a="1"/>
  <c r="B138" i="3" s="1"/>
  <c r="H137" i="3" a="1"/>
  <c r="H137" i="3" s="1"/>
  <c r="G137" i="3" a="1"/>
  <c r="G137" i="3" s="1"/>
  <c r="D137" i="3" a="1"/>
  <c r="D137" i="3" s="1"/>
  <c r="C137" i="3" a="1"/>
  <c r="C137" i="3" s="1"/>
  <c r="B137" i="3" a="1"/>
  <c r="B137" i="3" s="1"/>
  <c r="H136" i="3" a="1"/>
  <c r="H136" i="3" s="1"/>
  <c r="G136" i="3" a="1"/>
  <c r="G136" i="3" s="1"/>
  <c r="F136" i="3" a="1"/>
  <c r="F136" i="3" s="1"/>
  <c r="D136" i="3" a="1"/>
  <c r="D136" i="3" s="1"/>
  <c r="C136" i="3" a="1"/>
  <c r="C136" i="3" s="1"/>
  <c r="B136" i="3" a="1"/>
  <c r="B136" i="3" s="1"/>
  <c r="H135" i="3" a="1"/>
  <c r="H135" i="3" s="1"/>
  <c r="G135" i="3" a="1"/>
  <c r="G135" i="3" s="1"/>
  <c r="F135" i="3" a="1"/>
  <c r="F135" i="3" s="1"/>
  <c r="E135" i="3" a="1"/>
  <c r="E135" i="3" s="1"/>
  <c r="D135" i="3" a="1"/>
  <c r="D135" i="3" s="1"/>
  <c r="C135" i="3" a="1"/>
  <c r="C135" i="3" s="1"/>
  <c r="B135" i="3" a="1"/>
  <c r="B135" i="3" s="1"/>
  <c r="H134" i="3" a="1"/>
  <c r="H134" i="3" s="1"/>
  <c r="G134" i="3" a="1"/>
  <c r="G134" i="3" s="1"/>
  <c r="F134" i="3" a="1"/>
  <c r="F134" i="3" s="1"/>
  <c r="E134" i="3" a="1"/>
  <c r="E134" i="3" s="1"/>
  <c r="D134" i="3" a="1"/>
  <c r="D134" i="3" s="1"/>
  <c r="C134" i="3" a="1"/>
  <c r="C134" i="3" s="1"/>
  <c r="B134" i="3" a="1"/>
  <c r="B134" i="3" s="1"/>
  <c r="H133" i="3" a="1"/>
  <c r="H133" i="3" s="1"/>
  <c r="G133" i="3" a="1"/>
  <c r="G133" i="3" s="1"/>
  <c r="F133" i="3" a="1"/>
  <c r="F133" i="3" s="1"/>
  <c r="E133" i="3" a="1"/>
  <c r="E133" i="3" s="1"/>
  <c r="D133" i="3" a="1"/>
  <c r="D133" i="3" s="1"/>
  <c r="C133" i="3" a="1"/>
  <c r="C133" i="3" s="1"/>
  <c r="B133" i="3" a="1"/>
  <c r="B133" i="3" s="1"/>
  <c r="H132" i="3" a="1"/>
  <c r="H132" i="3" s="1"/>
  <c r="G132" i="3" a="1"/>
  <c r="G132" i="3" s="1"/>
  <c r="F132" i="3" a="1"/>
  <c r="F132" i="3" s="1"/>
  <c r="E132" i="3" a="1"/>
  <c r="E132" i="3" s="1"/>
  <c r="D132" i="3" a="1"/>
  <c r="D132" i="3" s="1"/>
  <c r="C132" i="3" a="1"/>
  <c r="C132" i="3" s="1"/>
  <c r="B132" i="3" a="1"/>
  <c r="B132" i="3" s="1"/>
  <c r="H131" i="3" a="1"/>
  <c r="H131" i="3" s="1"/>
  <c r="G131" i="3" a="1"/>
  <c r="G131" i="3" s="1"/>
  <c r="F131" i="3" a="1"/>
  <c r="F131" i="3" s="1"/>
  <c r="E131" i="3" a="1"/>
  <c r="E131" i="3" s="1"/>
  <c r="D131" i="3" a="1"/>
  <c r="D131" i="3" s="1"/>
  <c r="C131" i="3" a="1"/>
  <c r="C131" i="3" s="1"/>
  <c r="B131" i="3" a="1"/>
  <c r="B131" i="3" s="1"/>
  <c r="H130" i="3" a="1"/>
  <c r="H130" i="3" s="1"/>
  <c r="G130" i="3" a="1"/>
  <c r="G130" i="3" s="1"/>
  <c r="F130" i="3" a="1"/>
  <c r="F130" i="3" s="1"/>
  <c r="E130" i="3" a="1"/>
  <c r="E130" i="3" s="1"/>
  <c r="D130" i="3" a="1"/>
  <c r="D130" i="3" s="1"/>
  <c r="C130" i="3" a="1"/>
  <c r="C130" i="3" s="1"/>
  <c r="B130" i="3" a="1"/>
  <c r="B130" i="3" s="1"/>
  <c r="H129" i="3" a="1"/>
  <c r="H129" i="3" s="1"/>
  <c r="G129" i="3" a="1"/>
  <c r="G129" i="3" s="1"/>
  <c r="F129" i="3" a="1"/>
  <c r="F129" i="3" s="1"/>
  <c r="E129" i="3" a="1"/>
  <c r="E129" i="3" s="1"/>
  <c r="D129" i="3" a="1"/>
  <c r="D129" i="3" s="1"/>
  <c r="C129" i="3" a="1"/>
  <c r="C129" i="3" s="1"/>
  <c r="B129" i="3" a="1"/>
  <c r="B129" i="3" s="1"/>
  <c r="H128" i="3" a="1"/>
  <c r="H128" i="3" s="1"/>
  <c r="G128" i="3" a="1"/>
  <c r="G128" i="3" s="1"/>
  <c r="F128" i="3" a="1"/>
  <c r="F128" i="3" s="1"/>
  <c r="E128" i="3" a="1"/>
  <c r="E128" i="3" s="1"/>
  <c r="D128" i="3" a="1"/>
  <c r="D128" i="3" s="1"/>
  <c r="C128" i="3" a="1"/>
  <c r="C128" i="3" s="1"/>
  <c r="B128" i="3" a="1"/>
  <c r="B128" i="3" s="1"/>
  <c r="H127" i="3" a="1"/>
  <c r="H127" i="3" s="1"/>
  <c r="G127" i="3" a="1"/>
  <c r="G127" i="3" s="1"/>
  <c r="F127" i="3" a="1"/>
  <c r="F127" i="3" s="1"/>
  <c r="E127" i="3" a="1"/>
  <c r="E127" i="3" s="1"/>
  <c r="D127" i="3" a="1"/>
  <c r="D127" i="3" s="1"/>
  <c r="C127" i="3" a="1"/>
  <c r="C127" i="3" s="1"/>
  <c r="B127" i="3" a="1"/>
  <c r="B127" i="3" s="1"/>
  <c r="H126" i="3" a="1"/>
  <c r="H126" i="3" s="1"/>
  <c r="G126" i="3" a="1"/>
  <c r="G126" i="3" s="1"/>
  <c r="F126" i="3" a="1"/>
  <c r="F126" i="3" s="1"/>
  <c r="E126" i="3" a="1"/>
  <c r="E126" i="3" s="1"/>
  <c r="D126" i="3" a="1"/>
  <c r="D126" i="3" s="1"/>
  <c r="C126" i="3" a="1"/>
  <c r="C126" i="3" s="1"/>
  <c r="B126" i="3" a="1"/>
  <c r="B126" i="3" s="1"/>
  <c r="H125" i="3" a="1"/>
  <c r="H125" i="3" s="1"/>
  <c r="G125" i="3" a="1"/>
  <c r="G125" i="3" s="1"/>
  <c r="F125" i="3" a="1"/>
  <c r="F125" i="3" s="1"/>
  <c r="E125" i="3" a="1"/>
  <c r="E125" i="3" s="1"/>
  <c r="D125" i="3" a="1"/>
  <c r="D125" i="3" s="1"/>
  <c r="C125" i="3" a="1"/>
  <c r="C125" i="3" s="1"/>
  <c r="B125" i="3" a="1"/>
  <c r="B125" i="3" s="1"/>
  <c r="H124" i="3" a="1"/>
  <c r="H124" i="3" s="1"/>
  <c r="G124" i="3" a="1"/>
  <c r="G124" i="3" s="1"/>
  <c r="F124" i="3" a="1"/>
  <c r="F124" i="3" s="1"/>
  <c r="E124" i="3" a="1"/>
  <c r="E124" i="3" s="1"/>
  <c r="D124" i="3" a="1"/>
  <c r="D124" i="3" s="1"/>
  <c r="C124" i="3" a="1"/>
  <c r="C124" i="3" s="1"/>
  <c r="B124" i="3" a="1"/>
  <c r="B124" i="3" s="1"/>
  <c r="H123" i="3" a="1"/>
  <c r="H123" i="3" s="1"/>
  <c r="G123" i="3" a="1"/>
  <c r="G123" i="3" s="1"/>
  <c r="F123" i="3" a="1"/>
  <c r="F123" i="3" s="1"/>
  <c r="E123" i="3" a="1"/>
  <c r="E123" i="3" s="1"/>
  <c r="D123" i="3" a="1"/>
  <c r="D123" i="3" s="1"/>
  <c r="C123" i="3" a="1"/>
  <c r="C123" i="3" s="1"/>
  <c r="B123" i="3" a="1"/>
  <c r="B123" i="3" s="1"/>
  <c r="H122" i="3" a="1"/>
  <c r="H122" i="3" s="1"/>
  <c r="G122" i="3" a="1"/>
  <c r="G122" i="3" s="1"/>
  <c r="F122" i="3" a="1"/>
  <c r="F122" i="3" s="1"/>
  <c r="E122" i="3" a="1"/>
  <c r="E122" i="3" s="1"/>
  <c r="D122" i="3" a="1"/>
  <c r="D122" i="3" s="1"/>
  <c r="C122" i="3" a="1"/>
  <c r="C122" i="3" s="1"/>
  <c r="B122" i="3" a="1"/>
  <c r="B122" i="3" s="1"/>
  <c r="H121" i="3" a="1"/>
  <c r="H121" i="3" s="1"/>
  <c r="G121" i="3" a="1"/>
  <c r="G121" i="3" s="1"/>
  <c r="F121" i="3" a="1"/>
  <c r="F121" i="3" s="1"/>
  <c r="E121" i="3" a="1"/>
  <c r="E121" i="3" s="1"/>
  <c r="D121" i="3" a="1"/>
  <c r="D121" i="3" s="1"/>
  <c r="C121" i="3" a="1"/>
  <c r="C121" i="3" s="1"/>
  <c r="B121" i="3" a="1"/>
  <c r="B121" i="3" s="1"/>
  <c r="H120" i="3" a="1"/>
  <c r="H120" i="3" s="1"/>
  <c r="G120" i="3" a="1"/>
  <c r="G120" i="3" s="1"/>
  <c r="F120" i="3" a="1"/>
  <c r="F120" i="3" s="1"/>
  <c r="E120" i="3" a="1"/>
  <c r="E120" i="3" s="1"/>
  <c r="D120" i="3" a="1"/>
  <c r="D120" i="3" s="1"/>
  <c r="C120" i="3" a="1"/>
  <c r="C120" i="3" s="1"/>
  <c r="B120" i="3" a="1"/>
  <c r="B120" i="3" s="1"/>
  <c r="H119" i="3" a="1"/>
  <c r="H119" i="3" s="1"/>
  <c r="G119" i="3" a="1"/>
  <c r="G119" i="3" s="1"/>
  <c r="F119" i="3" a="1"/>
  <c r="F119" i="3" s="1"/>
  <c r="E119" i="3" a="1"/>
  <c r="E119" i="3" s="1"/>
  <c r="D119" i="3" a="1"/>
  <c r="D119" i="3" s="1"/>
  <c r="C119" i="3" a="1"/>
  <c r="C119" i="3" s="1"/>
  <c r="B119" i="3" a="1"/>
  <c r="B119" i="3" s="1"/>
  <c r="H118" i="3" a="1"/>
  <c r="H118" i="3" s="1"/>
  <c r="G118" i="3" a="1"/>
  <c r="G118" i="3" s="1"/>
  <c r="F118" i="3" a="1"/>
  <c r="F118" i="3" s="1"/>
  <c r="E118" i="3" a="1"/>
  <c r="E118" i="3" s="1"/>
  <c r="D118" i="3" a="1"/>
  <c r="D118" i="3" s="1"/>
  <c r="C118" i="3" a="1"/>
  <c r="C118" i="3" s="1"/>
  <c r="B118" i="3" a="1"/>
  <c r="B118" i="3" s="1"/>
  <c r="H117" i="3" a="1"/>
  <c r="H117" i="3" s="1"/>
  <c r="G117" i="3" a="1"/>
  <c r="G117" i="3" s="1"/>
  <c r="F117" i="3" a="1"/>
  <c r="F117" i="3" s="1"/>
  <c r="E117" i="3" a="1"/>
  <c r="E117" i="3" s="1"/>
  <c r="D117" i="3" a="1"/>
  <c r="D117" i="3" s="1"/>
  <c r="C117" i="3" a="1"/>
  <c r="C117" i="3" s="1"/>
  <c r="B117" i="3" a="1"/>
  <c r="B117" i="3" s="1"/>
  <c r="H116" i="3" a="1"/>
  <c r="H116" i="3" s="1"/>
  <c r="G116" i="3" a="1"/>
  <c r="G116" i="3" s="1"/>
  <c r="F116" i="3" a="1"/>
  <c r="F116" i="3" s="1"/>
  <c r="E116" i="3" a="1"/>
  <c r="E116" i="3" s="1"/>
  <c r="D116" i="3" a="1"/>
  <c r="D116" i="3" s="1"/>
  <c r="C116" i="3" a="1"/>
  <c r="C116" i="3" s="1"/>
  <c r="B116" i="3" a="1"/>
  <c r="B116" i="3" s="1"/>
  <c r="H115" i="3" a="1"/>
  <c r="H115" i="3" s="1"/>
  <c r="G115" i="3" a="1"/>
  <c r="G115" i="3" s="1"/>
  <c r="F115" i="3" a="1"/>
  <c r="F115" i="3" s="1"/>
  <c r="E115" i="3" a="1"/>
  <c r="E115" i="3" s="1"/>
  <c r="D115" i="3" a="1"/>
  <c r="D115" i="3" s="1"/>
  <c r="C115" i="3" a="1"/>
  <c r="C115" i="3" s="1"/>
  <c r="B115" i="3" a="1"/>
  <c r="B115" i="3" s="1"/>
  <c r="H114" i="3" a="1"/>
  <c r="H114" i="3" s="1"/>
  <c r="G114" i="3" a="1"/>
  <c r="G114" i="3" s="1"/>
  <c r="F114" i="3" a="1"/>
  <c r="F114" i="3" s="1"/>
  <c r="E114" i="3" a="1"/>
  <c r="E114" i="3" s="1"/>
  <c r="D114" i="3" a="1"/>
  <c r="D114" i="3" s="1"/>
  <c r="C114" i="3" a="1"/>
  <c r="C114" i="3" s="1"/>
  <c r="B114" i="3" a="1"/>
  <c r="B114" i="3" s="1"/>
  <c r="H113" i="3" a="1"/>
  <c r="H113" i="3" s="1"/>
  <c r="G113" i="3" a="1"/>
  <c r="G113" i="3" s="1"/>
  <c r="F113" i="3" a="1"/>
  <c r="F113" i="3" s="1"/>
  <c r="E113" i="3" a="1"/>
  <c r="E113" i="3" s="1"/>
  <c r="D113" i="3" a="1"/>
  <c r="D113" i="3" s="1"/>
  <c r="C113" i="3" a="1"/>
  <c r="C113" i="3" s="1"/>
  <c r="B113" i="3" a="1"/>
  <c r="B113" i="3" s="1"/>
  <c r="H112" i="3" a="1"/>
  <c r="H112" i="3" s="1"/>
  <c r="G112" i="3" a="1"/>
  <c r="G112" i="3" s="1"/>
  <c r="F112" i="3" a="1"/>
  <c r="F112" i="3" s="1"/>
  <c r="E112" i="3" a="1"/>
  <c r="E112" i="3" s="1"/>
  <c r="D112" i="3" a="1"/>
  <c r="D112" i="3" s="1"/>
  <c r="C112" i="3" a="1"/>
  <c r="C112" i="3" s="1"/>
  <c r="B112" i="3" a="1"/>
  <c r="B112" i="3" s="1"/>
  <c r="H111" i="3" a="1"/>
  <c r="H111" i="3" s="1"/>
  <c r="G111" i="3" a="1"/>
  <c r="G111" i="3" s="1"/>
  <c r="F111" i="3" a="1"/>
  <c r="F111" i="3" s="1"/>
  <c r="E111" i="3" a="1"/>
  <c r="E111" i="3" s="1"/>
  <c r="D111" i="3" a="1"/>
  <c r="D111" i="3" s="1"/>
  <c r="C111" i="3" a="1"/>
  <c r="C111" i="3" s="1"/>
  <c r="B111" i="3" a="1"/>
  <c r="B111" i="3" s="1"/>
  <c r="H110" i="3" a="1"/>
  <c r="H110" i="3" s="1"/>
  <c r="G110" i="3" a="1"/>
  <c r="G110" i="3" s="1"/>
  <c r="F110" i="3" a="1"/>
  <c r="F110" i="3" s="1"/>
  <c r="E110" i="3" a="1"/>
  <c r="E110" i="3" s="1"/>
  <c r="D110" i="3" a="1"/>
  <c r="D110" i="3" s="1"/>
  <c r="C110" i="3" a="1"/>
  <c r="C110" i="3" s="1"/>
  <c r="B110" i="3" a="1"/>
  <c r="B110" i="3" s="1"/>
  <c r="H109" i="3" a="1"/>
  <c r="H109" i="3" s="1"/>
  <c r="G109" i="3" a="1"/>
  <c r="G109" i="3" s="1"/>
  <c r="F109" i="3" a="1"/>
  <c r="F109" i="3" s="1"/>
  <c r="E109" i="3" a="1"/>
  <c r="E109" i="3" s="1"/>
  <c r="D109" i="3" a="1"/>
  <c r="D109" i="3" s="1"/>
  <c r="C109" i="3" a="1"/>
  <c r="C109" i="3" s="1"/>
  <c r="B109" i="3" a="1"/>
  <c r="B109" i="3" s="1"/>
  <c r="H108" i="3" a="1"/>
  <c r="H108" i="3" s="1"/>
  <c r="G108" i="3" a="1"/>
  <c r="G108" i="3" s="1"/>
  <c r="F108" i="3" a="1"/>
  <c r="F108" i="3" s="1"/>
  <c r="E108" i="3" a="1"/>
  <c r="E108" i="3" s="1"/>
  <c r="D108" i="3" a="1"/>
  <c r="D108" i="3" s="1"/>
  <c r="C108" i="3" a="1"/>
  <c r="C108" i="3" s="1"/>
  <c r="B108" i="3" a="1"/>
  <c r="B108" i="3" s="1"/>
  <c r="H107" i="3" a="1"/>
  <c r="H107" i="3" s="1"/>
  <c r="G107" i="3" a="1"/>
  <c r="G107" i="3" s="1"/>
  <c r="F107" i="3" a="1"/>
  <c r="F107" i="3" s="1"/>
  <c r="E107" i="3" a="1"/>
  <c r="E107" i="3" s="1"/>
  <c r="D107" i="3" a="1"/>
  <c r="D107" i="3" s="1"/>
  <c r="C107" i="3" a="1"/>
  <c r="C107" i="3" s="1"/>
  <c r="B107" i="3" a="1"/>
  <c r="B107" i="3" s="1"/>
  <c r="H106" i="3" a="1"/>
  <c r="H106" i="3" s="1"/>
  <c r="G106" i="3" a="1"/>
  <c r="G106" i="3" s="1"/>
  <c r="F106" i="3" a="1"/>
  <c r="F106" i="3" s="1"/>
  <c r="E106" i="3" a="1"/>
  <c r="E106" i="3" s="1"/>
  <c r="D106" i="3" a="1"/>
  <c r="D106" i="3" s="1"/>
  <c r="C106" i="3" a="1"/>
  <c r="C106" i="3" s="1"/>
  <c r="B106" i="3" a="1"/>
  <c r="B106" i="3" s="1"/>
  <c r="H105" i="3" a="1"/>
  <c r="H105" i="3" s="1"/>
  <c r="G105" i="3" a="1"/>
  <c r="G105" i="3" s="1"/>
  <c r="F105" i="3" a="1"/>
  <c r="F105" i="3" s="1"/>
  <c r="E105" i="3" a="1"/>
  <c r="E105" i="3" s="1"/>
  <c r="D105" i="3" a="1"/>
  <c r="D105" i="3" s="1"/>
  <c r="C105" i="3" a="1"/>
  <c r="C105" i="3" s="1"/>
  <c r="B105" i="3" a="1"/>
  <c r="B105" i="3" s="1"/>
  <c r="H104" i="3" a="1"/>
  <c r="H104" i="3" s="1"/>
  <c r="G104" i="3" a="1"/>
  <c r="G104" i="3" s="1"/>
  <c r="F104" i="3" a="1"/>
  <c r="F104" i="3" s="1"/>
  <c r="E104" i="3" a="1"/>
  <c r="E104" i="3" s="1"/>
  <c r="D104" i="3" a="1"/>
  <c r="D104" i="3" s="1"/>
  <c r="C104" i="3" a="1"/>
  <c r="C104" i="3" s="1"/>
  <c r="B104" i="3" a="1"/>
  <c r="B104" i="3" s="1"/>
  <c r="H103" i="3" a="1"/>
  <c r="H103" i="3" s="1"/>
  <c r="G103" i="3" a="1"/>
  <c r="G103" i="3" s="1"/>
  <c r="F103" i="3" a="1"/>
  <c r="F103" i="3" s="1"/>
  <c r="E103" i="3" a="1"/>
  <c r="E103" i="3" s="1"/>
  <c r="D103" i="3" a="1"/>
  <c r="D103" i="3" s="1"/>
  <c r="C103" i="3" a="1"/>
  <c r="C103" i="3" s="1"/>
  <c r="B103" i="3" a="1"/>
  <c r="B103" i="3" s="1"/>
  <c r="H102" i="3" a="1"/>
  <c r="H102" i="3" s="1"/>
  <c r="G102" i="3" a="1"/>
  <c r="G102" i="3" s="1"/>
  <c r="F102" i="3" a="1"/>
  <c r="F102" i="3" s="1"/>
  <c r="E102" i="3" a="1"/>
  <c r="E102" i="3" s="1"/>
  <c r="D102" i="3" a="1"/>
  <c r="D102" i="3" s="1"/>
  <c r="C102" i="3" a="1"/>
  <c r="C102" i="3" s="1"/>
  <c r="B102" i="3" a="1"/>
  <c r="B102" i="3" s="1"/>
  <c r="H101" i="3" a="1"/>
  <c r="H101" i="3" s="1"/>
  <c r="G101" i="3" a="1"/>
  <c r="G101" i="3" s="1"/>
  <c r="F101" i="3" a="1"/>
  <c r="F101" i="3" s="1"/>
  <c r="E101" i="3" a="1"/>
  <c r="E101" i="3" s="1"/>
  <c r="D101" i="3" a="1"/>
  <c r="D101" i="3" s="1"/>
  <c r="C101" i="3" a="1"/>
  <c r="C101" i="3" s="1"/>
  <c r="B101" i="3" a="1"/>
  <c r="B101" i="3" s="1"/>
  <c r="H100" i="3" a="1"/>
  <c r="H100" i="3" s="1"/>
  <c r="G100" i="3" a="1"/>
  <c r="G100" i="3" s="1"/>
  <c r="F100" i="3" a="1"/>
  <c r="F100" i="3" s="1"/>
  <c r="E100" i="3" a="1"/>
  <c r="E100" i="3" s="1"/>
  <c r="D100" i="3" a="1"/>
  <c r="D100" i="3" s="1"/>
  <c r="C100" i="3" a="1"/>
  <c r="C100" i="3" s="1"/>
  <c r="B100" i="3" a="1"/>
  <c r="B100" i="3" s="1"/>
  <c r="H99" i="3" a="1"/>
  <c r="H99" i="3" s="1"/>
  <c r="G99" i="3" a="1"/>
  <c r="G99" i="3" s="1"/>
  <c r="F99" i="3" a="1"/>
  <c r="F99" i="3" s="1"/>
  <c r="E99" i="3" a="1"/>
  <c r="E99" i="3" s="1"/>
  <c r="D99" i="3" a="1"/>
  <c r="D99" i="3" s="1"/>
  <c r="C99" i="3" a="1"/>
  <c r="C99" i="3" s="1"/>
  <c r="B99" i="3" a="1"/>
  <c r="B99" i="3" s="1"/>
  <c r="H98" i="3" a="1"/>
  <c r="H98" i="3" s="1"/>
  <c r="G98" i="3" a="1"/>
  <c r="G98" i="3" s="1"/>
  <c r="F98" i="3" a="1"/>
  <c r="F98" i="3" s="1"/>
  <c r="E98" i="3" a="1"/>
  <c r="E98" i="3" s="1"/>
  <c r="D98" i="3" a="1"/>
  <c r="D98" i="3" s="1"/>
  <c r="C98" i="3" a="1"/>
  <c r="C98" i="3" s="1"/>
  <c r="B98" i="3" a="1"/>
  <c r="B98" i="3" s="1"/>
  <c r="H97" i="3" a="1"/>
  <c r="H97" i="3" s="1"/>
  <c r="G97" i="3" a="1"/>
  <c r="G97" i="3" s="1"/>
  <c r="F97" i="3" a="1"/>
  <c r="F97" i="3" s="1"/>
  <c r="E97" i="3" a="1"/>
  <c r="E97" i="3" s="1"/>
  <c r="D97" i="3" a="1"/>
  <c r="D97" i="3" s="1"/>
  <c r="C97" i="3" a="1"/>
  <c r="C97" i="3" s="1"/>
  <c r="B97" i="3" a="1"/>
  <c r="B97" i="3" s="1"/>
  <c r="H96" i="3" a="1"/>
  <c r="H96" i="3" s="1"/>
  <c r="G96" i="3" a="1"/>
  <c r="G96" i="3" s="1"/>
  <c r="F96" i="3" a="1"/>
  <c r="F96" i="3" s="1"/>
  <c r="E96" i="3" a="1"/>
  <c r="E96" i="3" s="1"/>
  <c r="D96" i="3" a="1"/>
  <c r="D96" i="3" s="1"/>
  <c r="C96" i="3" a="1"/>
  <c r="C96" i="3" s="1"/>
  <c r="B96" i="3" a="1"/>
  <c r="B96" i="3" s="1"/>
  <c r="H95" i="3" a="1"/>
  <c r="H95" i="3" s="1"/>
  <c r="G95" i="3" a="1"/>
  <c r="G95" i="3" s="1"/>
  <c r="F95" i="3" a="1"/>
  <c r="F95" i="3" s="1"/>
  <c r="E95" i="3" a="1"/>
  <c r="E95" i="3" s="1"/>
  <c r="D95" i="3" a="1"/>
  <c r="D95" i="3" s="1"/>
  <c r="C95" i="3" a="1"/>
  <c r="C95" i="3" s="1"/>
  <c r="B95" i="3" a="1"/>
  <c r="B95" i="3" s="1"/>
  <c r="H94" i="3"/>
  <c r="G94" i="3"/>
  <c r="F94" i="3"/>
  <c r="E94" i="3"/>
  <c r="D94" i="3"/>
  <c r="C94" i="3"/>
  <c r="B94" i="3"/>
  <c r="H90" i="3" a="1"/>
  <c r="H90" i="3" s="1"/>
  <c r="G90" i="3" a="1"/>
  <c r="G90" i="3" s="1"/>
  <c r="F90" i="3" a="1"/>
  <c r="F90" i="3"/>
  <c r="E90" i="3" a="1"/>
  <c r="E90" i="3" s="1"/>
  <c r="D90" i="3" a="1"/>
  <c r="D90" i="3"/>
  <c r="C90" i="3" a="1"/>
  <c r="C90" i="3"/>
  <c r="B90" i="3" a="1"/>
  <c r="B90" i="3" s="1"/>
  <c r="H89" i="3" a="1"/>
  <c r="H89" i="3" s="1"/>
  <c r="G89" i="3" a="1"/>
  <c r="G89" i="3"/>
  <c r="F89" i="3" a="1"/>
  <c r="F89" i="3"/>
  <c r="E89" i="3" a="1"/>
  <c r="E89" i="3" s="1"/>
  <c r="D89" i="3" a="1"/>
  <c r="D89" i="3"/>
  <c r="C89" i="3" a="1"/>
  <c r="C89" i="3" s="1"/>
  <c r="B89" i="3" a="1"/>
  <c r="B89" i="3" s="1"/>
  <c r="H88" i="3" a="1"/>
  <c r="H88" i="3" s="1"/>
  <c r="G88" i="3" a="1"/>
  <c r="G88" i="3" s="1"/>
  <c r="F88" i="3" a="1"/>
  <c r="F88" i="3"/>
  <c r="E88" i="3" a="1"/>
  <c r="E88" i="3" s="1"/>
  <c r="D88" i="3" a="1"/>
  <c r="D88" i="3" s="1"/>
  <c r="C88" i="3" a="1"/>
  <c r="C88" i="3" s="1"/>
  <c r="B88" i="3" a="1"/>
  <c r="B88" i="3" s="1"/>
  <c r="H87" i="3" a="1"/>
  <c r="H87" i="3" s="1"/>
  <c r="G87" i="3" a="1"/>
  <c r="G87" i="3" s="1"/>
  <c r="F87" i="3" a="1"/>
  <c r="F87" i="3"/>
  <c r="E87" i="3" a="1"/>
  <c r="E87" i="3" s="1"/>
  <c r="D87" i="3" a="1"/>
  <c r="D87" i="3" s="1"/>
  <c r="C87" i="3" a="1"/>
  <c r="C87" i="3" s="1"/>
  <c r="B87" i="3" a="1"/>
  <c r="B87" i="3"/>
  <c r="H86" i="3" a="1"/>
  <c r="H86" i="3" s="1"/>
  <c r="G86" i="3" a="1"/>
  <c r="G86" i="3" s="1"/>
  <c r="F86" i="3" a="1"/>
  <c r="F86" i="3" s="1"/>
  <c r="E86" i="3" a="1"/>
  <c r="E86" i="3" s="1"/>
  <c r="D86" i="3" a="1"/>
  <c r="D86" i="3"/>
  <c r="C86" i="3" a="1"/>
  <c r="C86" i="3" s="1"/>
  <c r="B86" i="3" a="1"/>
  <c r="B86" i="3"/>
  <c r="H85" i="3" a="1"/>
  <c r="H85" i="3" s="1"/>
  <c r="G85" i="3" a="1"/>
  <c r="G85" i="3" s="1"/>
  <c r="F85" i="3" a="1"/>
  <c r="F85" i="3" s="1"/>
  <c r="E85" i="3" a="1"/>
  <c r="E85" i="3" s="1"/>
  <c r="D85" i="3" a="1"/>
  <c r="D85" i="3"/>
  <c r="C85" i="3" a="1"/>
  <c r="C85" i="3"/>
  <c r="B85" i="3" a="1"/>
  <c r="B85" i="3" s="1"/>
  <c r="H84" i="3" a="1"/>
  <c r="H84" i="3" s="1"/>
  <c r="G84" i="3" a="1"/>
  <c r="G84" i="3" s="1"/>
  <c r="F84" i="3" a="1"/>
  <c r="F84" i="3"/>
  <c r="E84" i="3" a="1"/>
  <c r="E84" i="3" s="1"/>
  <c r="D84" i="3" a="1"/>
  <c r="D84" i="3"/>
  <c r="C84" i="3" a="1"/>
  <c r="C84" i="3"/>
  <c r="B84" i="3" a="1"/>
  <c r="B84" i="3" s="1"/>
  <c r="H83" i="3" a="1"/>
  <c r="H83" i="3" s="1"/>
  <c r="G83" i="3" a="1"/>
  <c r="G83" i="3"/>
  <c r="F83" i="3" a="1"/>
  <c r="F83" i="3"/>
  <c r="E83" i="3" a="1"/>
  <c r="E83" i="3" s="1"/>
  <c r="D83" i="3" a="1"/>
  <c r="D83" i="3" s="1"/>
  <c r="C83" i="3" a="1"/>
  <c r="C83" i="3" s="1"/>
  <c r="B83" i="3" a="1"/>
  <c r="B83" i="3" s="1"/>
  <c r="H82" i="3" a="1"/>
  <c r="H82" i="3" s="1"/>
  <c r="G82" i="3" a="1"/>
  <c r="G82" i="3"/>
  <c r="F82" i="3" a="1"/>
  <c r="F82" i="3" s="1"/>
  <c r="E82" i="3" a="1"/>
  <c r="E82" i="3" s="1"/>
  <c r="D82" i="3" a="1"/>
  <c r="D82" i="3" s="1"/>
  <c r="C82" i="3" a="1"/>
  <c r="C82" i="3" s="1"/>
  <c r="B82" i="3" a="1"/>
  <c r="B82" i="3"/>
  <c r="H81" i="3" a="1"/>
  <c r="H81" i="3" s="1"/>
  <c r="G81" i="3" a="1"/>
  <c r="G81" i="3" s="1"/>
  <c r="F81" i="3" a="1"/>
  <c r="F81" i="3"/>
  <c r="E81" i="3" a="1"/>
  <c r="E81" i="3" s="1"/>
  <c r="D81" i="3" a="1"/>
  <c r="D81" i="3" s="1"/>
  <c r="C81" i="3" a="1"/>
  <c r="C81" i="3" s="1"/>
  <c r="B81" i="3" a="1"/>
  <c r="B81" i="3" s="1"/>
  <c r="H79" i="3" a="1"/>
  <c r="H79" i="3" s="1"/>
  <c r="G79" i="3" a="1"/>
  <c r="G79" i="3" s="1"/>
  <c r="F79" i="3" a="1"/>
  <c r="F79" i="3" s="1"/>
  <c r="E79" i="3" a="1"/>
  <c r="E79" i="3" s="1"/>
  <c r="D79" i="3" a="1"/>
  <c r="D79" i="3" s="1"/>
  <c r="C79" i="3" a="1"/>
  <c r="C79" i="3" s="1"/>
  <c r="B79" i="3" a="1"/>
  <c r="B79" i="3" s="1"/>
  <c r="H78" i="3" a="1"/>
  <c r="H78" i="3" s="1"/>
  <c r="G78" i="3" a="1"/>
  <c r="G78" i="3" s="1"/>
  <c r="F78" i="3" a="1"/>
  <c r="F78" i="3" s="1"/>
  <c r="E78" i="3" a="1"/>
  <c r="E78" i="3" s="1"/>
  <c r="D78" i="3" a="1"/>
  <c r="D78" i="3"/>
  <c r="C78" i="3" a="1"/>
  <c r="C78" i="3"/>
  <c r="B78" i="3" a="1"/>
  <c r="B78" i="3" s="1"/>
  <c r="H77" i="3" a="1"/>
  <c r="H77" i="3" s="1"/>
  <c r="F77" i="3" a="1"/>
  <c r="F77" i="3" s="1"/>
  <c r="E77" i="3" a="1"/>
  <c r="E77" i="3"/>
  <c r="D77" i="3" a="1"/>
  <c r="D77" i="3" s="1"/>
  <c r="C77" i="3" a="1"/>
  <c r="C77" i="3"/>
  <c r="B77" i="3" a="1"/>
  <c r="B77" i="3"/>
  <c r="H71" i="3" a="1"/>
  <c r="H71" i="3" s="1"/>
  <c r="G71" i="3" a="1"/>
  <c r="G71" i="3" s="1"/>
  <c r="F71" i="3" a="1"/>
  <c r="F71" i="3" s="1"/>
  <c r="E71" i="3" a="1"/>
  <c r="E71" i="3"/>
  <c r="D71" i="3" a="1"/>
  <c r="D71" i="3" s="1"/>
  <c r="C71" i="3" a="1"/>
  <c r="C71" i="3"/>
  <c r="B71" i="3" a="1"/>
  <c r="B71" i="3" s="1"/>
  <c r="H66" i="3" a="1"/>
  <c r="H66" i="3" s="1"/>
  <c r="G66" i="3" a="1"/>
  <c r="G66" i="3" s="1"/>
  <c r="F66" i="3" a="1"/>
  <c r="F66" i="3" s="1"/>
  <c r="E66" i="3" a="1"/>
  <c r="E66" i="3"/>
  <c r="D66" i="3" a="1"/>
  <c r="D66" i="3" s="1"/>
  <c r="C66" i="3" a="1"/>
  <c r="C66" i="3" s="1"/>
  <c r="B66" i="3" a="1"/>
  <c r="B66" i="3" s="1"/>
  <c r="H65" i="3" a="1"/>
  <c r="H65" i="3" s="1"/>
  <c r="G65" i="3" a="1"/>
  <c r="G65" i="3" s="1"/>
  <c r="F65" i="3" a="1"/>
  <c r="F65" i="3" s="1"/>
  <c r="E65" i="3" a="1"/>
  <c r="E65" i="3"/>
  <c r="D65" i="3" a="1"/>
  <c r="D65" i="3" s="1"/>
  <c r="C65" i="3" a="1"/>
  <c r="C65" i="3" s="1"/>
  <c r="B65" i="3" a="1"/>
  <c r="B65" i="3"/>
  <c r="H64" i="3" a="1"/>
  <c r="H64" i="3" s="1"/>
  <c r="G64" i="3" a="1"/>
  <c r="G64" i="3"/>
  <c r="F64" i="3" a="1"/>
  <c r="F64" i="3" s="1"/>
  <c r="E64" i="3" a="1"/>
  <c r="E64" i="3" s="1"/>
  <c r="D64" i="3" a="1"/>
  <c r="D64" i="3" s="1"/>
  <c r="C64" i="3" a="1"/>
  <c r="C64" i="3"/>
  <c r="B64" i="3" a="1"/>
  <c r="B64" i="3" s="1"/>
  <c r="H63" i="3" a="1"/>
  <c r="H63" i="3" s="1"/>
  <c r="G63" i="3" a="1"/>
  <c r="G63" i="3" s="1"/>
  <c r="F63" i="3" a="1"/>
  <c r="F63" i="3" s="1"/>
  <c r="E63" i="3" a="1"/>
  <c r="E63" i="3" s="1"/>
  <c r="D63" i="3" a="1"/>
  <c r="D63" i="3" s="1"/>
  <c r="C63" i="3" a="1"/>
  <c r="C63" i="3"/>
  <c r="B63" i="3" a="1"/>
  <c r="B63" i="3" s="1"/>
  <c r="H62" i="3" a="1"/>
  <c r="H62" i="3" s="1"/>
  <c r="G62" i="3" a="1"/>
  <c r="G62" i="3" s="1"/>
  <c r="F62" i="3" a="1"/>
  <c r="F62" i="3" s="1"/>
  <c r="E62" i="3" a="1"/>
  <c r="E62" i="3"/>
  <c r="D62" i="3" a="1"/>
  <c r="D62" i="3" s="1"/>
  <c r="C62" i="3" a="1"/>
  <c r="C62" i="3" s="1"/>
  <c r="B62" i="3" a="1"/>
  <c r="B62" i="3"/>
  <c r="H61" i="3" a="1"/>
  <c r="H61" i="3" s="1"/>
  <c r="G61" i="3" a="1"/>
  <c r="G61" i="3" s="1"/>
  <c r="F61" i="3" a="1"/>
  <c r="F61" i="3"/>
  <c r="E61" i="3" a="1"/>
  <c r="E61" i="3"/>
  <c r="D61" i="3" a="1"/>
  <c r="D61" i="3" s="1"/>
  <c r="C61" i="3" a="1"/>
  <c r="C61" i="3" s="1"/>
  <c r="B61" i="3" a="1"/>
  <c r="B61" i="3" s="1"/>
  <c r="H60" i="3" a="1"/>
  <c r="H60" i="3" s="1"/>
  <c r="G60" i="3" a="1"/>
  <c r="G60" i="3" s="1"/>
  <c r="F60" i="3" a="1"/>
  <c r="F60" i="3"/>
  <c r="E60" i="3" a="1"/>
  <c r="E60" i="3" s="1"/>
  <c r="D60" i="3" a="1"/>
  <c r="D60" i="3" s="1"/>
  <c r="C60" i="3" a="1"/>
  <c r="C60" i="3" s="1"/>
  <c r="B60" i="3" a="1"/>
  <c r="B60" i="3" s="1"/>
  <c r="H59" i="3" a="1"/>
  <c r="H59" i="3" s="1"/>
  <c r="G59" i="3" a="1"/>
  <c r="G59" i="3" s="1"/>
  <c r="F59" i="3" a="1"/>
  <c r="F59" i="3" s="1"/>
  <c r="E59" i="3" a="1"/>
  <c r="E59" i="3" s="1"/>
  <c r="D59" i="3" a="1"/>
  <c r="D59" i="3" s="1"/>
  <c r="C59" i="3" a="1"/>
  <c r="C59" i="3"/>
  <c r="B59" i="3" a="1"/>
  <c r="B59" i="3"/>
  <c r="H58" i="3" a="1"/>
  <c r="H58" i="3" s="1"/>
  <c r="G58" i="3" a="1"/>
  <c r="G58" i="3" s="1"/>
  <c r="F58" i="3" a="1"/>
  <c r="F58" i="3"/>
  <c r="E58" i="3" a="1"/>
  <c r="E58" i="3" s="1"/>
  <c r="D58" i="3" a="1"/>
  <c r="D58" i="3" s="1"/>
  <c r="C58" i="3" a="1"/>
  <c r="C58" i="3" s="1"/>
  <c r="B58" i="3" a="1"/>
  <c r="B58" i="3" s="1"/>
  <c r="H57" i="3" a="1"/>
  <c r="H57" i="3" s="1"/>
  <c r="G57" i="3" a="1"/>
  <c r="G57" i="3" s="1"/>
  <c r="F57" i="3" a="1"/>
  <c r="F57" i="3" s="1"/>
  <c r="E57" i="3" a="1"/>
  <c r="E57" i="3" s="1"/>
  <c r="D57" i="3" a="1"/>
  <c r="D57" i="3" s="1"/>
  <c r="C57" i="3" a="1"/>
  <c r="C57" i="3"/>
  <c r="B57" i="3" a="1"/>
  <c r="B57" i="3" s="1"/>
  <c r="H56" i="3" a="1"/>
  <c r="H56" i="3" s="1"/>
  <c r="G56" i="3" a="1"/>
  <c r="G56" i="3" s="1"/>
  <c r="F56" i="3" a="1"/>
  <c r="F56" i="3" s="1"/>
  <c r="E56" i="3" a="1"/>
  <c r="E56" i="3" s="1"/>
  <c r="D56" i="3" a="1"/>
  <c r="D56" i="3" s="1"/>
  <c r="C56" i="3" a="1"/>
  <c r="C56" i="3" s="1"/>
  <c r="B56" i="3" a="1"/>
  <c r="B56" i="3" s="1"/>
  <c r="H55" i="3" a="1"/>
  <c r="H55" i="3" s="1"/>
  <c r="G55" i="3" a="1"/>
  <c r="G55" i="3"/>
  <c r="F55" i="3" a="1"/>
  <c r="F55" i="3" s="1"/>
  <c r="E55" i="3" a="1"/>
  <c r="E55" i="3"/>
  <c r="D55" i="3" a="1"/>
  <c r="D55" i="3" s="1"/>
  <c r="C55" i="3" a="1"/>
  <c r="C55" i="3" s="1"/>
  <c r="B55" i="3" a="1"/>
  <c r="B55" i="3" s="1"/>
  <c r="H54" i="3" a="1"/>
  <c r="H54" i="3" s="1"/>
  <c r="G54" i="3" a="1"/>
  <c r="G54" i="3" s="1"/>
  <c r="F54" i="3" a="1"/>
  <c r="F54" i="3" s="1"/>
  <c r="E54" i="3" a="1"/>
  <c r="E54" i="3" s="1"/>
  <c r="D54" i="3" a="1"/>
  <c r="D54" i="3" s="1"/>
  <c r="C54" i="3" a="1"/>
  <c r="C54" i="3" s="1"/>
  <c r="B54" i="3" a="1"/>
  <c r="B54" i="3"/>
  <c r="H53" i="3" a="1"/>
  <c r="H53" i="3" s="1"/>
  <c r="G53" i="3" a="1"/>
  <c r="G53" i="3" s="1"/>
  <c r="F53" i="3" a="1"/>
  <c r="F53" i="3" s="1"/>
  <c r="E53" i="3" a="1"/>
  <c r="E53" i="3"/>
  <c r="D53" i="3" a="1"/>
  <c r="D53" i="3" s="1"/>
  <c r="C53" i="3" a="1"/>
  <c r="C53" i="3" s="1"/>
  <c r="B53" i="3" a="1"/>
  <c r="B53" i="3" s="1"/>
  <c r="H52" i="3" a="1"/>
  <c r="H52" i="3" s="1"/>
  <c r="G52" i="3" a="1"/>
  <c r="G52" i="3" s="1"/>
  <c r="F52" i="3" a="1"/>
  <c r="F52" i="3" s="1"/>
  <c r="E52" i="3" a="1"/>
  <c r="E52" i="3" s="1"/>
  <c r="D52" i="3" a="1"/>
  <c r="D52" i="3" s="1"/>
  <c r="C52" i="3" a="1"/>
  <c r="C52" i="3" s="1"/>
  <c r="B52" i="3" a="1"/>
  <c r="B52" i="3"/>
  <c r="H51" i="3" a="1"/>
  <c r="H51" i="3" s="1"/>
  <c r="G51" i="3" a="1"/>
  <c r="G51" i="3"/>
  <c r="F51" i="3" a="1"/>
  <c r="F51" i="3" s="1"/>
  <c r="E51" i="3" a="1"/>
  <c r="E51" i="3" s="1"/>
  <c r="D51" i="3" a="1"/>
  <c r="D51" i="3" s="1"/>
  <c r="C51" i="3" a="1"/>
  <c r="C51" i="3" s="1"/>
  <c r="B51" i="3" a="1"/>
  <c r="B51" i="3"/>
  <c r="H50" i="3" a="1"/>
  <c r="H50" i="3" s="1"/>
  <c r="G50" i="3" a="1"/>
  <c r="G50" i="3"/>
  <c r="F50" i="3" a="1"/>
  <c r="F50" i="3" s="1"/>
  <c r="E50" i="3" a="1"/>
  <c r="E50" i="3"/>
  <c r="D50" i="3" a="1"/>
  <c r="D50" i="3" s="1"/>
  <c r="C50" i="3" a="1"/>
  <c r="C50" i="3" s="1"/>
  <c r="B50" i="3" a="1"/>
  <c r="B50" i="3"/>
  <c r="H49" i="3" a="1"/>
  <c r="H49" i="3" s="1"/>
  <c r="G49" i="3" a="1"/>
  <c r="G49" i="3" s="1"/>
  <c r="F49" i="3" a="1"/>
  <c r="F49" i="3"/>
  <c r="E49" i="3" a="1"/>
  <c r="E49" i="3"/>
  <c r="D49" i="3" a="1"/>
  <c r="D49" i="3" s="1"/>
  <c r="C49" i="3" a="1"/>
  <c r="C49" i="3" s="1"/>
  <c r="B49" i="3" a="1"/>
  <c r="B49" i="3"/>
  <c r="H48" i="3" a="1"/>
  <c r="H48" i="3" s="1"/>
  <c r="G48" i="3" a="1"/>
  <c r="G48" i="3"/>
  <c r="F48" i="3" a="1"/>
  <c r="F48" i="3" s="1"/>
  <c r="E48" i="3" a="1"/>
  <c r="E48" i="3" s="1"/>
  <c r="D48" i="3" a="1"/>
  <c r="D48" i="3" s="1"/>
  <c r="C48" i="3" a="1"/>
  <c r="C48" i="3"/>
  <c r="B48" i="3" a="1"/>
  <c r="B48" i="3" s="1"/>
  <c r="H47" i="3" a="1"/>
  <c r="H47" i="3" s="1"/>
  <c r="G47" i="3" a="1"/>
  <c r="G47" i="3"/>
  <c r="F47" i="3" a="1"/>
  <c r="F47" i="3" s="1"/>
  <c r="E47" i="3" a="1"/>
  <c r="E47" i="3" s="1"/>
  <c r="D47" i="3" a="1"/>
  <c r="D47" i="3" s="1"/>
  <c r="C47" i="3" a="1"/>
  <c r="C47" i="3" s="1"/>
  <c r="B47" i="3" a="1"/>
  <c r="B47" i="3"/>
  <c r="H46" i="3" a="1"/>
  <c r="H46" i="3" s="1"/>
  <c r="G46" i="3" a="1"/>
  <c r="G46" i="3"/>
  <c r="F46" i="3" a="1"/>
  <c r="F46" i="3"/>
  <c r="E46" i="3" a="1"/>
  <c r="E46" i="3" s="1"/>
  <c r="D46" i="3" a="1"/>
  <c r="D46" i="3" s="1"/>
  <c r="C46" i="3" a="1"/>
  <c r="C46" i="3" s="1"/>
  <c r="B46" i="3" a="1"/>
  <c r="B46" i="3" s="1"/>
  <c r="H45" i="3" a="1"/>
  <c r="H45" i="3" s="1"/>
  <c r="G45" i="3" a="1"/>
  <c r="G45" i="3" s="1"/>
  <c r="F45" i="3" a="1"/>
  <c r="F45" i="3"/>
  <c r="E45" i="3" a="1"/>
  <c r="E45" i="3" s="1"/>
  <c r="D45" i="3" a="1"/>
  <c r="D45" i="3" s="1"/>
  <c r="C45" i="3" a="1"/>
  <c r="C45" i="3" s="1"/>
  <c r="B45" i="3" a="1"/>
  <c r="B45" i="3" s="1"/>
  <c r="H44" i="3" a="1"/>
  <c r="H44" i="3"/>
  <c r="G44" i="3" a="1"/>
  <c r="G44" i="3"/>
  <c r="F44" i="3" a="1"/>
  <c r="F44" i="3" s="1"/>
  <c r="E44" i="3" a="1"/>
  <c r="E44" i="3" s="1"/>
  <c r="D44" i="3" a="1"/>
  <c r="D44" i="3" s="1"/>
  <c r="C44" i="3" a="1"/>
  <c r="C44" i="3"/>
  <c r="B44" i="3" a="1"/>
  <c r="B44" i="3" s="1"/>
  <c r="H43" i="3" a="1"/>
  <c r="H43" i="3" s="1"/>
  <c r="G43" i="3" a="1"/>
  <c r="G43" i="3" s="1"/>
  <c r="F43" i="3" a="1"/>
  <c r="F43" i="3" s="1"/>
  <c r="E43" i="3" a="1"/>
  <c r="E43" i="3" s="1"/>
  <c r="D43" i="3" a="1"/>
  <c r="D43" i="3" s="1"/>
  <c r="C43" i="3" a="1"/>
  <c r="C43" i="3"/>
  <c r="B43" i="3" a="1"/>
  <c r="B43" i="3"/>
  <c r="H42" i="3" a="1"/>
  <c r="H42" i="3" s="1"/>
  <c r="G42" i="3" a="1"/>
  <c r="G42" i="3" s="1"/>
  <c r="F42" i="3" a="1"/>
  <c r="F42" i="3" s="1"/>
  <c r="E42" i="3" a="1"/>
  <c r="E42" i="3"/>
  <c r="D42" i="3" a="1"/>
  <c r="D42" i="3"/>
  <c r="C42" i="3" a="1"/>
  <c r="C42" i="3"/>
  <c r="B42" i="3" a="1"/>
  <c r="B42" i="3" s="1"/>
  <c r="H41" i="3" a="1"/>
  <c r="H41" i="3" s="1"/>
  <c r="G41" i="3" a="1"/>
  <c r="G41" i="3" s="1"/>
  <c r="F41" i="3" a="1"/>
  <c r="F41" i="3" s="1"/>
  <c r="E41" i="3" a="1"/>
  <c r="E41" i="3" s="1"/>
  <c r="D41" i="3" a="1"/>
  <c r="D41" i="3"/>
  <c r="C41" i="3" a="1"/>
  <c r="C41" i="3" s="1"/>
  <c r="B41" i="3" a="1"/>
  <c r="B41" i="3" s="1"/>
  <c r="H40" i="3" a="1"/>
  <c r="H40" i="3" s="1"/>
  <c r="G40" i="3" a="1"/>
  <c r="G40" i="3" s="1"/>
  <c r="F40" i="3" a="1"/>
  <c r="F40" i="3" s="1"/>
  <c r="E40" i="3" a="1"/>
  <c r="E40" i="3" s="1"/>
  <c r="D40" i="3" a="1"/>
  <c r="D40" i="3" s="1"/>
  <c r="C40" i="3" a="1"/>
  <c r="C40" i="3" s="1"/>
  <c r="B40" i="3" a="1"/>
  <c r="B40" i="3" s="1"/>
  <c r="H39" i="3" a="1"/>
  <c r="H39" i="3" s="1"/>
  <c r="G39" i="3" a="1"/>
  <c r="G39" i="3"/>
  <c r="F39" i="3" a="1"/>
  <c r="F39" i="3"/>
  <c r="E39" i="3" a="1"/>
  <c r="E39" i="3" s="1"/>
  <c r="D39" i="3" a="1"/>
  <c r="D39" i="3" s="1"/>
  <c r="C39" i="3" a="1"/>
  <c r="C39" i="3" s="1"/>
  <c r="B39" i="3" a="1"/>
  <c r="B39" i="3"/>
  <c r="H38" i="3" a="1"/>
  <c r="H38" i="3" s="1"/>
  <c r="G38" i="3" a="1"/>
  <c r="G38" i="3" s="1"/>
  <c r="F38" i="3" a="1"/>
  <c r="F38" i="3" s="1"/>
  <c r="E38" i="3" a="1"/>
  <c r="E38" i="3" s="1"/>
  <c r="D38" i="3" a="1"/>
  <c r="D38" i="3" s="1"/>
  <c r="C38" i="3" a="1"/>
  <c r="C38" i="3" s="1"/>
  <c r="B38" i="3" a="1"/>
  <c r="B38" i="3" s="1"/>
  <c r="H37" i="3" a="1"/>
  <c r="H37" i="3" s="1"/>
  <c r="G37" i="3" a="1"/>
  <c r="G37" i="3" s="1"/>
  <c r="F37" i="3" a="1"/>
  <c r="F37" i="3" s="1"/>
  <c r="E37" i="3" a="1"/>
  <c r="E37" i="3" s="1"/>
  <c r="D37" i="3" a="1"/>
  <c r="D37" i="3"/>
  <c r="C37" i="3" a="1"/>
  <c r="C37" i="3" s="1"/>
  <c r="B37" i="3" a="1"/>
  <c r="B37" i="3" s="1"/>
  <c r="H36" i="3" a="1"/>
  <c r="H36" i="3" s="1"/>
  <c r="G36" i="3" a="1"/>
  <c r="G36" i="3" s="1"/>
  <c r="F36" i="3" a="1"/>
  <c r="F36" i="3" s="1"/>
  <c r="E36" i="3" a="1"/>
  <c r="E36" i="3"/>
  <c r="D36" i="3" a="1"/>
  <c r="D36" i="3" s="1"/>
  <c r="C36" i="3" a="1"/>
  <c r="C36" i="3"/>
  <c r="B36" i="3" a="1"/>
  <c r="B36" i="3" s="1"/>
  <c r="H35" i="3" a="1"/>
  <c r="H35" i="3" s="1"/>
  <c r="G35" i="3" a="1"/>
  <c r="G35" i="3" s="1"/>
  <c r="F35" i="3" a="1"/>
  <c r="F35" i="3" s="1"/>
  <c r="E35" i="3" a="1"/>
  <c r="E35" i="3"/>
  <c r="D35" i="3" a="1"/>
  <c r="D35" i="3"/>
  <c r="C35" i="3" a="1"/>
  <c r="C35" i="3" s="1"/>
  <c r="B35" i="3" a="1"/>
  <c r="B35" i="3" s="1"/>
  <c r="H34" i="3" a="1"/>
  <c r="H34" i="3" s="1"/>
  <c r="G34" i="3" a="1"/>
  <c r="G34" i="3"/>
  <c r="F34" i="3" a="1"/>
  <c r="F34" i="3" s="1"/>
  <c r="E34" i="3" a="1"/>
  <c r="E34" i="3"/>
  <c r="D34" i="3" a="1"/>
  <c r="D34" i="3" s="1"/>
  <c r="C34" i="3" a="1"/>
  <c r="C34" i="3" s="1"/>
  <c r="B34" i="3" a="1"/>
  <c r="B34" i="3" s="1"/>
  <c r="H33" i="3" a="1"/>
  <c r="H33" i="3" s="1"/>
  <c r="G33" i="3" a="1"/>
  <c r="G33" i="3"/>
  <c r="F33" i="3" a="1"/>
  <c r="F33" i="3" s="1"/>
  <c r="E33" i="3" a="1"/>
  <c r="E33" i="3" s="1"/>
  <c r="D33" i="3" a="1"/>
  <c r="D33" i="3" s="1"/>
  <c r="C33" i="3" a="1"/>
  <c r="C33" i="3" s="1"/>
  <c r="B33" i="3" a="1"/>
  <c r="B33" i="3"/>
  <c r="H32" i="3" a="1"/>
  <c r="H32" i="3" s="1"/>
  <c r="G32" i="3" a="1"/>
  <c r="G32" i="3" s="1"/>
  <c r="F32" i="3" a="1"/>
  <c r="F32" i="3" s="1"/>
  <c r="E32" i="3" a="1"/>
  <c r="E32" i="3" s="1"/>
  <c r="D32" i="3" a="1"/>
  <c r="D32" i="3" s="1"/>
  <c r="C32" i="3" a="1"/>
  <c r="C32" i="3" s="1"/>
  <c r="B32" i="3" a="1"/>
  <c r="B32" i="3" s="1"/>
  <c r="H31" i="3" a="1"/>
  <c r="H31" i="3"/>
  <c r="G31" i="3" a="1"/>
  <c r="G31" i="3" s="1"/>
  <c r="F31" i="3" a="1"/>
  <c r="F31" i="3" s="1"/>
  <c r="E31" i="3" a="1"/>
  <c r="E31" i="3" s="1"/>
  <c r="D31" i="3" a="1"/>
  <c r="D31" i="3"/>
  <c r="C31" i="3" a="1"/>
  <c r="C31" i="3"/>
  <c r="B31" i="3" a="1"/>
  <c r="B31" i="3" s="1"/>
  <c r="H30" i="3" a="1"/>
  <c r="H30" i="3" s="1"/>
  <c r="G30" i="3" a="1"/>
  <c r="G30" i="3" s="1"/>
  <c r="F30" i="3" a="1"/>
  <c r="F30" i="3" s="1"/>
  <c r="E30" i="3" a="1"/>
  <c r="E30" i="3"/>
  <c r="D30" i="3" a="1"/>
  <c r="D30" i="3"/>
  <c r="C30" i="3" a="1"/>
  <c r="C30" i="3" s="1"/>
  <c r="B30" i="3" a="1"/>
  <c r="B30" i="3" s="1"/>
  <c r="H29" i="3" a="1"/>
  <c r="H29" i="3" s="1"/>
  <c r="G29" i="3" a="1"/>
  <c r="G29" i="3" s="1"/>
  <c r="F29" i="3" a="1"/>
  <c r="F29" i="3"/>
  <c r="E29" i="3" a="1"/>
  <c r="E29" i="3"/>
  <c r="D29" i="3" a="1"/>
  <c r="D29" i="3" s="1"/>
  <c r="C29" i="3" a="1"/>
  <c r="C29" i="3" s="1"/>
  <c r="B29" i="3" a="1"/>
  <c r="B29" i="3" s="1"/>
  <c r="H28" i="3" a="1"/>
  <c r="H28" i="3" s="1"/>
  <c r="G28" i="3" a="1"/>
  <c r="G28" i="3" s="1"/>
  <c r="F28" i="3" a="1"/>
  <c r="F28" i="3" s="1"/>
  <c r="E28" i="3" a="1"/>
  <c r="E28" i="3"/>
  <c r="D28" i="3" a="1"/>
  <c r="D28" i="3" s="1"/>
  <c r="C28" i="3" a="1"/>
  <c r="C28" i="3" s="1"/>
  <c r="B28" i="3" a="1"/>
  <c r="B28" i="3" s="1"/>
  <c r="H27" i="3" a="1"/>
  <c r="H27" i="3"/>
  <c r="G27" i="3" a="1"/>
  <c r="G27" i="3"/>
  <c r="F27" i="3" a="1"/>
  <c r="F27" i="3" s="1"/>
  <c r="E27" i="3" a="1"/>
  <c r="E27" i="3" s="1"/>
  <c r="D27" i="3" a="1"/>
  <c r="D27" i="3" s="1"/>
  <c r="C27" i="3" a="1"/>
  <c r="C27" i="3" s="1"/>
  <c r="B27" i="3" a="1"/>
  <c r="B27" i="3"/>
  <c r="H26" i="3" a="1"/>
  <c r="H26" i="3"/>
  <c r="G26" i="3" a="1"/>
  <c r="G26" i="3" s="1"/>
  <c r="F26" i="3" a="1"/>
  <c r="F26" i="3" s="1"/>
  <c r="E26" i="3" a="1"/>
  <c r="E26" i="3" s="1"/>
  <c r="D26" i="3" a="1"/>
  <c r="D26" i="3" s="1"/>
  <c r="C26" i="3" a="1"/>
  <c r="C26" i="3"/>
  <c r="B26" i="3" a="1"/>
  <c r="B26" i="3"/>
  <c r="H25" i="3" a="1"/>
  <c r="H25" i="3" s="1"/>
  <c r="G25" i="3" a="1"/>
  <c r="G25" i="3" s="1"/>
  <c r="F25" i="3" a="1"/>
  <c r="F25" i="3" s="1"/>
  <c r="E25" i="3" a="1"/>
  <c r="E25" i="3" s="1"/>
  <c r="D25" i="3" a="1"/>
  <c r="D25" i="3"/>
  <c r="C25" i="3" a="1"/>
  <c r="C25" i="3" s="1"/>
  <c r="B25" i="3" a="1"/>
  <c r="B25" i="3"/>
  <c r="H24" i="3" a="1"/>
  <c r="H24" i="3" s="1"/>
  <c r="G24" i="3" a="1"/>
  <c r="G24" i="3" s="1"/>
  <c r="F24" i="3" a="1"/>
  <c r="F24" i="3" s="1"/>
  <c r="E24" i="3" a="1"/>
  <c r="E24" i="3"/>
  <c r="D24" i="3" a="1"/>
  <c r="D24" i="3" s="1"/>
  <c r="C24" i="3" a="1"/>
  <c r="C24" i="3" s="1"/>
  <c r="B24" i="3" a="1"/>
  <c r="B24" i="3" s="1"/>
  <c r="H23" i="3" a="1"/>
  <c r="H23" i="3" s="1"/>
  <c r="G23" i="3" a="1"/>
  <c r="G23" i="3" s="1"/>
  <c r="F23" i="3" a="1"/>
  <c r="F23" i="3"/>
  <c r="E23" i="3" a="1"/>
  <c r="E23" i="3" s="1"/>
  <c r="D23" i="3" a="1"/>
  <c r="D23" i="3"/>
  <c r="C23" i="3" a="1"/>
  <c r="C23" i="3" s="1"/>
  <c r="B23" i="3" a="1"/>
  <c r="B23" i="3" s="1"/>
  <c r="H22" i="3" a="1"/>
  <c r="H22" i="3" s="1"/>
  <c r="G22" i="3" a="1"/>
  <c r="G22" i="3" s="1"/>
  <c r="F22" i="3" a="1"/>
  <c r="F22" i="3"/>
  <c r="E22" i="3" a="1"/>
  <c r="E22" i="3"/>
  <c r="D22" i="3" a="1"/>
  <c r="D22" i="3" s="1"/>
  <c r="C22" i="3" a="1"/>
  <c r="C22" i="3" s="1"/>
  <c r="B22" i="3" a="1"/>
  <c r="B22" i="3" s="1"/>
  <c r="H21" i="3" a="1"/>
  <c r="H21" i="3" s="1"/>
  <c r="G21" i="3" a="1"/>
  <c r="G21" i="3" s="1"/>
  <c r="F21" i="3" a="1"/>
  <c r="F21" i="3" s="1"/>
  <c r="E21" i="3" a="1"/>
  <c r="E21" i="3" s="1"/>
  <c r="D21" i="3" a="1"/>
  <c r="D21" i="3" s="1"/>
  <c r="C21" i="3" a="1"/>
  <c r="C21" i="3" s="1"/>
  <c r="B21" i="3" a="1"/>
  <c r="B21" i="3" s="1"/>
  <c r="H20" i="3" a="1"/>
  <c r="H20" i="3"/>
  <c r="G20" i="3" a="1"/>
  <c r="G20" i="3"/>
  <c r="F20" i="3" a="1"/>
  <c r="F20" i="3" s="1"/>
  <c r="E20" i="3" a="1"/>
  <c r="E20" i="3" s="1"/>
  <c r="D20" i="3" a="1"/>
  <c r="D20" i="3" s="1"/>
  <c r="C20" i="3" a="1"/>
  <c r="C20" i="3"/>
  <c r="B20" i="3" a="1"/>
  <c r="B20" i="3"/>
  <c r="H19" i="3" a="1"/>
  <c r="H19" i="3" s="1"/>
  <c r="G19" i="3" a="1"/>
  <c r="G19" i="3" s="1"/>
  <c r="F19" i="3" a="1"/>
  <c r="F19" i="3" s="1"/>
  <c r="E19" i="3" a="1"/>
  <c r="E19" i="3" s="1"/>
  <c r="D19" i="3" a="1"/>
  <c r="D19" i="3" s="1"/>
  <c r="C19" i="3" a="1"/>
  <c r="C19" i="3" s="1"/>
  <c r="B19" i="3" a="1"/>
  <c r="B19" i="3"/>
  <c r="H18" i="3" a="1"/>
  <c r="H18" i="3" s="1"/>
  <c r="G18" i="3" a="1"/>
  <c r="G18" i="3" s="1"/>
  <c r="F18" i="3" a="1"/>
  <c r="F18" i="3" s="1"/>
  <c r="E18" i="3" a="1"/>
  <c r="E18" i="3"/>
  <c r="D18" i="3" a="1"/>
  <c r="D18" i="3"/>
  <c r="C18" i="3" a="1"/>
  <c r="C18" i="3" s="1"/>
  <c r="B18" i="3" a="1"/>
  <c r="B18" i="3" s="1"/>
  <c r="H17" i="3" a="1"/>
  <c r="H17" i="3" s="1"/>
  <c r="G17" i="3" a="1"/>
  <c r="G17" i="3" s="1"/>
  <c r="F17" i="3" a="1"/>
  <c r="F17" i="3"/>
  <c r="E17" i="3" a="1"/>
  <c r="E17" i="3"/>
  <c r="D17" i="3" a="1"/>
  <c r="D17" i="3" s="1"/>
  <c r="C17" i="3" a="1"/>
  <c r="C17" i="3" s="1"/>
  <c r="B17" i="3" a="1"/>
  <c r="B17" i="3" s="1"/>
  <c r="H16" i="3" a="1"/>
  <c r="H16" i="3" s="1"/>
  <c r="G16" i="3" a="1"/>
  <c r="G16" i="3"/>
  <c r="F16" i="3" a="1"/>
  <c r="F16" i="3"/>
  <c r="E16" i="3" a="1"/>
  <c r="E16" i="3" s="1"/>
  <c r="D16" i="3" a="1"/>
  <c r="D16" i="3" s="1"/>
  <c r="C16" i="3" a="1"/>
  <c r="C16" i="3" s="1"/>
  <c r="B16" i="3" a="1"/>
  <c r="B16" i="3" s="1"/>
  <c r="H15" i="3" a="1"/>
  <c r="H15" i="3" s="1"/>
  <c r="G15" i="3" a="1"/>
  <c r="G15" i="3" s="1"/>
  <c r="F15" i="3" a="1"/>
  <c r="F15" i="3"/>
  <c r="E15" i="3" a="1"/>
  <c r="E15" i="3" s="1"/>
  <c r="D15" i="3" a="1"/>
  <c r="D15" i="3" s="1"/>
  <c r="C15" i="3" a="1"/>
  <c r="C15" i="3" s="1"/>
  <c r="B15" i="3" a="1"/>
  <c r="B15" i="3"/>
  <c r="H14" i="3" a="1"/>
  <c r="H14" i="3" s="1"/>
  <c r="G14" i="3" a="1"/>
  <c r="G14" i="3"/>
  <c r="F14" i="3" a="1"/>
  <c r="F14" i="3" s="1"/>
  <c r="E14" i="3" a="1"/>
  <c r="E14" i="3" s="1"/>
  <c r="D14" i="3" a="1"/>
  <c r="D14" i="3" s="1"/>
  <c r="C14" i="3" a="1"/>
  <c r="C14" i="3"/>
  <c r="B14" i="3" a="1"/>
  <c r="B14" i="3"/>
  <c r="H13" i="3"/>
  <c r="G13" i="3"/>
  <c r="F13" i="3"/>
  <c r="E13" i="3"/>
  <c r="D13" i="3"/>
  <c r="C13" i="3"/>
  <c r="B13" i="3"/>
  <c r="C9" i="3"/>
  <c r="C8" i="3"/>
  <c r="C7" i="3"/>
  <c r="C6" i="3"/>
  <c r="H11" i="3" l="1"/>
  <c r="H9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G1" authorId="0" shapeId="0" xr:uid="{00000000-0006-0000-0100-000001000000}">
      <text>
        <r>
          <rPr>
            <sz val="11"/>
            <color theme="1"/>
            <rFont val="Calibri"/>
            <family val="2"/>
            <scheme val="minor"/>
          </rPr>
          <t>점검 결과(F열)에 따른 조치 안내(G열)를 조치 안내 예시(I,J,K열)를 참고하여 작성
======</t>
        </r>
      </text>
    </comment>
  </commentList>
</comments>
</file>

<file path=xl/sharedStrings.xml><?xml version="1.0" encoding="utf-8"?>
<sst xmlns="http://schemas.openxmlformats.org/spreadsheetml/2006/main" count="812" uniqueCount="518">
  <si>
    <t>개요</t>
  </si>
  <si>
    <t>1. 목적</t>
  </si>
  <si>
    <t>MSP 진행에 앞서 추후 발생될 수 있는 이슈에 대해 사전에 미리 안내하고 권고하는 내용을 전달하기 위함.</t>
  </si>
  <si>
    <t>2. 작성 방법</t>
  </si>
  <si>
    <t>* 기본적인 샘플 안내 문구가 기입된 경우, 확인하고 고객사에 맞게 수정을 진행한다.</t>
  </si>
  <si>
    <t>① [고객사 점검표] 시트의 점검 결과를 선택한 후 필요한 경우 조치 안내를 기재한다.</t>
  </si>
  <si>
    <t>② [고객사 제공] 시트에서 고객사 제공 내용을 확인하고 PDF 파일로 인쇄한다.</t>
  </si>
  <si>
    <r>
      <rPr>
        <sz val="10"/>
        <color theme="1"/>
        <rFont val="Malgun Gothic"/>
        <family val="3"/>
        <charset val="129"/>
      </rPr>
      <t>[</t>
    </r>
    <r>
      <rPr>
        <sz val="10"/>
        <color theme="1"/>
        <rFont val="Malgun Gothic"/>
        <family val="3"/>
        <charset val="129"/>
      </rPr>
      <t>고객사점검표] 시트
-점검 결과 선택 항목</t>
    </r>
  </si>
  <si>
    <t>고객 정보</t>
  </si>
  <si>
    <t>조치 권고</t>
  </si>
  <si>
    <t>확인 불가</t>
  </si>
  <si>
    <t>미사용</t>
  </si>
  <si>
    <t>점검 완료</t>
  </si>
  <si>
    <r>
      <rPr>
        <sz val="10"/>
        <color theme="1"/>
        <rFont val="Malgun Gothic"/>
        <family val="3"/>
        <charset val="129"/>
      </rPr>
      <t>[</t>
    </r>
    <r>
      <rPr>
        <sz val="10"/>
        <color theme="1"/>
        <rFont val="Malgun Gothic"/>
        <family val="3"/>
        <charset val="129"/>
      </rPr>
      <t>고객사</t>
    </r>
    <r>
      <rPr>
        <sz val="10"/>
        <color theme="1"/>
        <rFont val="Malgun Gothic"/>
        <family val="3"/>
        <charset val="129"/>
      </rPr>
      <t xml:space="preserve"> </t>
    </r>
    <r>
      <rPr>
        <sz val="10"/>
        <color theme="1"/>
        <rFont val="Malgun Gothic"/>
        <family val="3"/>
        <charset val="129"/>
      </rPr>
      <t>제공</t>
    </r>
    <r>
      <rPr>
        <sz val="10"/>
        <color theme="1"/>
        <rFont val="Malgun Gothic"/>
        <family val="3"/>
        <charset val="129"/>
      </rPr>
      <t xml:space="preserve">] </t>
    </r>
    <r>
      <rPr>
        <sz val="10"/>
        <color theme="1"/>
        <rFont val="Malgun Gothic"/>
        <family val="3"/>
        <charset val="129"/>
      </rPr>
      <t>시트에서</t>
    </r>
  </si>
  <si>
    <t>조치 권고' 는 G14 ~ G60 에서 나열</t>
  </si>
  <si>
    <t>확인 불가' 는 G61 ~ G80 에서 나열</t>
  </si>
  <si>
    <t>점검 완료' 는 G95 ~ G130 에서 나열</t>
  </si>
  <si>
    <t>빈 행은 숨김 처리</t>
  </si>
  <si>
    <t>대분류</t>
  </si>
  <si>
    <t>중분류</t>
  </si>
  <si>
    <t>점검 항목</t>
  </si>
  <si>
    <t>위험도</t>
  </si>
  <si>
    <t>점검 내용</t>
  </si>
  <si>
    <t>점검 결과</t>
  </si>
  <si>
    <r>
      <rPr>
        <b/>
        <sz val="11"/>
        <color rgb="FFFFFFFF"/>
        <rFont val="Noto Sans"/>
        <family val="2"/>
      </rPr>
      <t>조치</t>
    </r>
    <r>
      <rPr>
        <b/>
        <sz val="11"/>
        <color rgb="FFFFFFFF"/>
        <rFont val="Noto Sans"/>
        <family val="2"/>
      </rPr>
      <t xml:space="preserve"> </t>
    </r>
    <r>
      <rPr>
        <b/>
        <sz val="11"/>
        <color rgb="FFFFFFFF"/>
        <rFont val="Noto Sans"/>
        <family val="2"/>
      </rPr>
      <t>안내</t>
    </r>
  </si>
  <si>
    <t>조치 안내 (예시)</t>
  </si>
  <si>
    <t>조치 안내 예시(점검 완료)</t>
  </si>
  <si>
    <t>조치 안내 예시(조치 권고)</t>
  </si>
  <si>
    <t>조치 안내 예시(확인 불가)</t>
  </si>
  <si>
    <t>비고</t>
  </si>
  <si>
    <t>고객사 운영 정보</t>
  </si>
  <si>
    <t>기본 항목</t>
  </si>
  <si>
    <t>고객사명</t>
  </si>
  <si>
    <t>-</t>
  </si>
  <si>
    <t>고객사의 이름을 확인합니다.</t>
  </si>
  <si>
    <t>#점검완료
메가존클라우드</t>
  </si>
  <si>
    <t>{고객사 이름}</t>
  </si>
  <si>
    <t>고객사 업종</t>
  </si>
  <si>
    <t>고객사의 업종을 확인합니다.</t>
  </si>
  <si>
    <t>#점검완료
MSP</t>
  </si>
  <si>
    <t>{고객사 업종}</t>
  </si>
  <si>
    <t>Project ID</t>
  </si>
  <si>
    <t>점검 대상 프로젝트의 ID를 확인합니다.</t>
  </si>
  <si>
    <t xml:space="preserve">#점검완료
{project_id} </t>
  </si>
  <si>
    <t>{project_id}</t>
  </si>
  <si>
    <t>Region(리전)</t>
  </si>
  <si>
    <t>점검 대상 프로젝트에서 사용 중인 리전을 확인합니다.</t>
  </si>
  <si>
    <t>#점검완료
현재 {project_id} 프로젝트에서 사용하고 있는 리전은 아래와 같습니다.
  [리전]
  - asia-northeast3</t>
  </si>
  <si>
    <t>현재 {project_id} 프로젝트에서 사용하고 있는 리전은 아래와 같습니다.
  [리전]
  - asia-northeast3</t>
  </si>
  <si>
    <t>Service(서비스)</t>
  </si>
  <si>
    <t>점검 대상 프로젝트에서 사용 중인 서비스를 확인합니다.</t>
  </si>
  <si>
    <t>#점검완료
현재 {project_id} 프로젝트에서 사용하고 있는 서비스 현황은 아래와 같습니다.
  [서비스]
  - Compute Engine
  - Cloud Loadbalancing</t>
  </si>
  <si>
    <t>현재 {project_id} 프로젝트에서 사용하고 있는 서비스 현황은 아래와 같습니다.
  [서비스]
  - Compute Engine
  - Cloud Loadbalancing</t>
  </si>
  <si>
    <t>구성도</t>
  </si>
  <si>
    <t>구성도 유무를 점검합니다.</t>
  </si>
  <si>
    <t>#점검완료
작성된 구성도가 존재합니다.</t>
  </si>
  <si>
    <t>작성된 구성도가 존재합니다.</t>
  </si>
  <si>
    <t>운영 시작 일자</t>
  </si>
  <si>
    <t>운영 시작 일정을 확인합니다. (사전 준비 기간은 최소 2주 소요됩니다.)</t>
  </si>
  <si>
    <t>#점검완료
20XX-XX-XX</t>
  </si>
  <si>
    <t>20XX-XX-XX</t>
  </si>
  <si>
    <t>MSP 등급</t>
  </si>
  <si>
    <t>등급에 따라 제공되는 서비스를 확인합니다.</t>
  </si>
  <si>
    <t>#점검완료
Economy / Standard / Premium</t>
  </si>
  <si>
    <t>Economy / Standard / Premium</t>
  </si>
  <si>
    <t>GCP Support Level</t>
  </si>
  <si>
    <t>GCP Case Open을 진행하기 위해 확인합니다.</t>
  </si>
  <si>
    <t>#점검완료
Basic / Standard / Advanced / Premium Support / Partner-led Premium</t>
  </si>
  <si>
    <t>Basic / Standard / Advanced / Premium Support / Partner-led Premium</t>
  </si>
  <si>
    <t>요구사항 및 기타 특이사항</t>
  </si>
  <si>
    <t>MSP 미팅 시 언급된 요구사항이나 특이사항을 확인합니다.</t>
  </si>
  <si>
    <t>#점검완료
고객사의 요구사항 및 특이사항은 아래와 같습니다.
- ABCD
- EFGH</t>
  </si>
  <si>
    <t>고객사의 요구사항 및 특이사항은 아래와 같습니다.
- ABCD
- EFGH</t>
  </si>
  <si>
    <t>운영 정의</t>
  </si>
  <si>
    <t>MSP 운영 정의서(운영 별첨 문서)를 고객에게 전달하고, 회신한 문서 검토를 진행합니다.</t>
  </si>
  <si>
    <t>#점검완료
MSP 운영 정의서를 전달 후 회신된 문서를 확인하였습니다.</t>
  </si>
  <si>
    <t>MSP 운영 정의서를 전달 후 회신된 문서를 확인하였습니다.</t>
  </si>
  <si>
    <t>SpaceOne 연동 여부</t>
  </si>
  <si>
    <t>고객사의 정보가 SpaceONE에 등록되어 있는지 확인합니다.</t>
  </si>
  <si>
    <t>#점검완료
SpaceONE 등록을 완료하였습니다.</t>
  </si>
  <si>
    <t>SpaceONE 등록을 완료하였습니다.</t>
  </si>
  <si>
    <t>24X7 모니터링 요청</t>
  </si>
  <si>
    <t>모니터링 요청서를 작성하여 24X7 팀 인수인계 및 특이사항 전달 여부를 확인합니다.</t>
  </si>
  <si>
    <t>#점검완료
모니터링 요청서 작성 후 24x7 팀에 전달하였습니다.</t>
  </si>
  <si>
    <t>모니터링 요청서 작성 후 24x7 팀에 전달하였습니다.</t>
  </si>
  <si>
    <t>Web Service 모니터링</t>
  </si>
  <si>
    <t>고객사에서 웹페이지를 운영하는지 확인합니다.</t>
  </si>
  <si>
    <t>#점검완료
고객사에서 웹페이지(https://xxx.com)를 운영하고 있고, 이를 체크하기 위한 모니터링 환경(HTTP 상태 코드 - 2xx, 4xx, 5xx)을 구성했습니다.</t>
  </si>
  <si>
    <t>고객사에서 웹페이지(https://xxx.com)를 운영하고 있고, 이를 체크하기 위한 모니터링 환경(HTTP 상태 코드 - 2xx, 4xx, 5xx)을 구성했습니다.</t>
  </si>
  <si>
    <t>모니터링 서비스계정 구성 여부</t>
  </si>
  <si>
    <t>매니지드 운영을 위한 서비스 계정이 구성되어 있는지 확인합니다.</t>
  </si>
  <si>
    <t>#점검완료
매니지드 운영을 위한 서비스 계정을 구성하였습니다.
- mzc-report@mzc-gcp-managed.iam.gserviceaccount.com / 뷰어
- mzc-api@{projectID}.iam.gserviceaccount.com / 뷰어
- mzc-monitoring@mzc-gcp-managed.iam.gserviceaccount.com / 뷰어</t>
  </si>
  <si>
    <t>매니지드 운영을 위한 서비스 계정을 구성하였습니다.
- mzc-report@mzc-gcp-managed.iam.gserviceaccount.com / 뷰어
- mzc-api@{projectID}.iam.gserviceaccount.com / 뷰어
- mzc-monitoring@mzc-gcp-managed.iam.gserviceaccount.com / 뷰어</t>
  </si>
  <si>
    <t>서비스 관리</t>
  </si>
  <si>
    <t>모니터링 구성</t>
  </si>
  <si>
    <t>기존 모니터링 알림 설정 여부 및 정책 현황을 확인합니다.</t>
  </si>
  <si>
    <t>#점검완료
Cloud Monitoring에 구성된 모니터링 알람 정책 현황은 아래와 같습니다.
  [알람 이름] / [활성화 여부]
  - log metric test / OFF
  - monitor-uptime/ ON</t>
  </si>
  <si>
    <t>Cloud Monitoring에 구성된 모니터링 알람 정책 현황은 아래와 같습니다.
  [알람 이름] / [활성화 여부]
  - log metric test / OFF
  - monitor-uptime/ ON</t>
  </si>
  <si>
    <t>Personalized Service Health</t>
  </si>
  <si>
    <t>Service Health 모니터링 설정 여부를 확인합니다.</t>
  </si>
  <si>
    <t>#점검완료
Service Health 모니터링 설정하였습니다.</t>
  </si>
  <si>
    <t>Service Health 모니터링 설정하였습니다.</t>
  </si>
  <si>
    <t>LucidChart 연동 여부</t>
  </si>
  <si>
    <t>LucidChart 연동 및 구성도가 생성되어 있는지 확인합니다.</t>
  </si>
  <si>
    <t>#점검완료
LucidChart 연동 및 구성도 생성 완료하였습니다.</t>
  </si>
  <si>
    <t>LucidChart 연동 및 구성도 생성 완료하였습니다.</t>
  </si>
  <si>
    <t>BigQuery</t>
  </si>
  <si>
    <t>BigQuery 사용 여부</t>
  </si>
  <si>
    <t>하</t>
  </si>
  <si>
    <t>BigQuery 사용 여부 및 Dataset 현황을 확인합니다.</t>
  </si>
  <si>
    <t>#확인불가
현재 {project_id} 프로젝트에 부여받은 권한의 부족으로 인하여 BigQuery 사용 여부 및 Dataset 현황을 확인할 수 없습니다.
#조치권고
#점검완료
BigQuery를 사용하고 있으며, 데이터셋 현황은 아래와 같습니다.
  [데이터 세트 ID] / [데이터 위치]
  - my_app_logs_dataset / asia-northeast3
  - my_app_data_warehouse / US</t>
  </si>
  <si>
    <t>BigQuery를 사용하고 있으며, 데이터셋 현황은 아래와 같습니다.
  [데이터 세트 ID] / [데이터 위치]
  - my_app_logs_dataset / asia-northeast3
  - my_app_data_warehouse / US</t>
  </si>
  <si>
    <t>현재 {project_id} 프로젝트에 부여받은 권한의 부족으로 인하여 BigQuery 사용 여부 및 Dataset 현황을 확인할 수 없습니다.</t>
  </si>
  <si>
    <t>데이터 세트 권한 확인</t>
  </si>
  <si>
    <t>BigQuery 데이터 소유자 및 BigQuery 데이터 편집자 권한이 부여되어 있는 데이터 세트를 확인합니다.</t>
  </si>
  <si>
    <t>#확인불가
현재 {project_id} 프로젝트에 부여받은 권한의 부족으로 인하여 데이터 세트 권한 현황을 확인할 수 없습니다. 
#조치권고
BigQuery 데이터 소유자 및 BigQuery 데이터 편집자 권한이 부여된 데이터세트가 있습니다.
  [데이터 세트 ID] / [권한] / [주구성권]
  - abcd-dataset / BigQuery 데이터 소유자 / abcd@abcd.com
데이터 세트의 과도한 권한 부여는 사용자가 의도치 않게 중요 데이터를 수정/삭제 할 수 있는 위험이 있습니다.
필요하지 않을 경우 최소한의 권한만을 부여하는 것을 권장드립니다.
#점검완료
BigQuery 데이터 소유자 및 BigQuery 데이터 편집자 권한이 부여된 데이터 세트가 없습니다.</t>
  </si>
  <si>
    <t>BigQuery 데이터 소유자 및 BigQuery 데이터 편집자 권한이 부여된 데이터 세트가 없습니다.</t>
  </si>
  <si>
    <t>BigQuery 데이터 소유자 및 BigQuery 데이터 편집자 권한이 부여된 데이터세트가 있습니다.
  [데이터 세트 ID] / [권한] / [주구성권]
  - abcd-dataset / BigQuery 데이터 소유자 / abcd@abcd.com
데이터 세트의 과도한 권한 부여는 사용자가 의도치 않게 중요 데이터를 수정/삭제 할 수 있는 위험이 있습니다.
필요하지 않을 경우 최소한의 권한만을 부여하는 것을 권장드립니다.</t>
  </si>
  <si>
    <t xml:space="preserve">현재 {project_id} 프로젝트에 부여받은 권한의 부족으로 인하여 데이터 세트 권한 현황을 확인할 수 없습니다. </t>
  </si>
  <si>
    <t>테이블 만료 정책 현황</t>
  </si>
  <si>
    <t>테이블 만료 정책이 설정되어 있는지 확인합니다.</t>
  </si>
  <si>
    <t>#확인불가
현재 {project_id} 프로젝트에 부여받은 권한의 부족으로 인하여 테이블 만료 정책을 확인할 수 없습니다. 
#조치권고
BigQuery 테이블 만료 정책이 설정되어 있지 않은 BigQuery 테이블이 존재합니다.
  [BigQuery 테이블 이름]
  - abcd-table 
BigQuery 테이블 만료 정책은 주로 비용 절감과 데이터 관리 효율성을 위해 설정할 수 있습니다. 
사용 빈도가 낮은 데이터를 자동으로 삭제함으로써 스토리지 비용을 최적화할 수 있으며 오래된 데이터가 쌓이는 것을 방지하여 데이터 거버넌스를 유지하고 시스템 성능을 개선하는 데 도움이 됩니다.
#점검완료
모든 BigQuery 테이블에 만료 정책이 설정되어 있습니다.
  [BigQuery 테이블 이름] / [만료 시간] 
  - abcd-table / 30일</t>
  </si>
  <si>
    <t>모든 BigQuery 테이블에 만료 정책이 설정되어 있습니다.
  [BigQuery 테이블 이름] / [만료 시간] 
  - abcd-table / 30일</t>
  </si>
  <si>
    <t>BigQuery 테이블 만료 정책이 설정되어 있지 않은 BigQuery 테이블이 존재합니다.
  [BigQuery 테이블 이름]
  - abcd-table 
BigQuery 테이블 만료 정책은 주로 비용 절감과 데이터 관리 효율성을 위해 설정할 수 있습니다. 
사용 빈도가 낮은 데이터를 자동으로 삭제함으로써 스토리지 비용을 최적화할 수 있으며 오래된 데이터가 쌓이는 것을 방지하여 데이터 거버넌스를 유지하고 시스템 성능을 개선하는 데 도움이 됩니다.</t>
  </si>
  <si>
    <t xml:space="preserve">현재 {project_id} 프로젝트에 부여받은 권한의 부족으로 인하여 테이블 만료 정책을 확인할 수 없습니다. </t>
  </si>
  <si>
    <t>Slot 약정 사용 여부 및 할당 현황</t>
  </si>
  <si>
    <t>Slot 약정 사용 여부 및 할당 현황을 확인합니다.</t>
  </si>
  <si>
    <t>#확인불가
현재 {project_id} 프로젝트에 부여받은 권한의 부족으로 인하여 Slot 현황을 확인할 수 없습니다.
#조치권고
#점검완료
BigQuery Slot 약정을 사용하고 있으며, 할당 현황은 아래와 같습니다.
  [약정 이름] : [슬롯 수 / 약정 기간 / 갱신 요금제]
  - annual-commitment-100 : 100 slots / 연간 / project-A-reservation</t>
  </si>
  <si>
    <t>BigQuery Slot 약정을 사용하고 있으며, 할당 현황은 아래와 같습니다.
  [약정 이름] : [슬롯 수 / 약정 기간 / 갱신 요금제]
  - annual-commitment-100 : 100 slots / 연간 / project-A-reservation</t>
  </si>
  <si>
    <t>현재 {project_id} 프로젝트에 부여받은 권한의 부족으로 인하여 Slot 현황을 확인할 수 없습니다.</t>
  </si>
  <si>
    <t>Cloud CDN</t>
  </si>
  <si>
    <t>Cloud CDN 사용 여부</t>
  </si>
  <si>
    <t>Cloud CDN 사용 여부 및 현황을 파악합니다.</t>
  </si>
  <si>
    <t>#확인불가
현재 {project_id} 프로젝트에 부여받은 권한의 부족으로 인하여 Cloud CDN 사용 현황을 확인할 수 없습니다. 
#조치권고
#점검완료
Cloud CDN을 사용하고 있으며, 현황은 아래와 같습니다.
  [CDN 이름] / [캐시 모드]
  - backend-abcd-app-domain / 정적 콘텐츠 캐시</t>
  </si>
  <si>
    <t>Cloud CDN을 사용하고 있으며, 현황은 아래와 같습니다.
  [CDN 이름] / [캐시 모드]
  - backend-abcd-app-domain / 정적 콘텐츠 캐시</t>
  </si>
  <si>
    <t xml:space="preserve">현재 {project_id} 프로젝트에 부여받은 권한의 부족으로 인하여 Cloud CDN 사용 현황을 확인할 수 없습니다. </t>
  </si>
  <si>
    <t>Cloud DNS</t>
  </si>
  <si>
    <t>Cloud DNS 사용 여부</t>
  </si>
  <si>
    <t>Cloud DNS 사용 여부 및 도메인 주소 현황을 확인합니다.</t>
  </si>
  <si>
    <t>#확인불가
현재 {project_id} 프로젝트에 부여받은 권한의 부족으로 인하여 Cloud DNS 사용 현황을 확인할 수 없습니다. 
#조치권고
#점검완료
Cloud DNS를 사용하고 있으며, 현황은 아래와 같습니다.
  [영역 이름] / [DNS 이름] / [영역 유형]
  - gke-asia-northeast3-abcd / cluster.local. / 비공개</t>
  </si>
  <si>
    <t>Cloud DNS를 사용하고 있으며, 현황은 아래와 같습니다.
  [영역 이름] / [DNS 이름] / [영역 유형]
  - gke-asia-northeast3-abcd / cluster.local. / 비공개</t>
  </si>
  <si>
    <t xml:space="preserve">현재 {project_id} 프로젝트에 부여받은 권한의 부족으로 인하여 Cloud DNS 사용 현황을 확인할 수 없습니다. </t>
  </si>
  <si>
    <t>Cloud NAT</t>
  </si>
  <si>
    <t>Cloud NAT 사용 여부</t>
  </si>
  <si>
    <t>Cloud NAT 서비스 사용 여부 및 현황을 확인합니다.</t>
  </si>
  <si>
    <t>#확인불가
현재 {project_id} 프로젝트에 부여받은 권한의 부족으로 인하여 Cloud NAT 사용 현황을 확인할 수 없습니다. 
#조치권고
#점검완료
Cloud NAT를 사용하고 있으며, 현황은 아래와 같습니다.
  [게이트웨이 이름] / [네트워크] / [리전] 
  - vpc-abcd-nat / vpc-abcd / asia-northeast3</t>
  </si>
  <si>
    <t>Cloud NAT를 사용하고 있으며, 현황은 아래와 같습니다.
  [게이트웨이 이름] / [네트워크] / [리전] 
  - vpc-abcd-nat / vpc-abcd / asia-northeast3</t>
  </si>
  <si>
    <t xml:space="preserve">현재 {project_id} 프로젝트에 부여받은 권한의 부족으로 인하여 Cloud NAT 사용 현황을 확인할 수 없습니다. </t>
  </si>
  <si>
    <t>Cloud Run</t>
  </si>
  <si>
    <t>Cloud Run 사용 여부</t>
  </si>
  <si>
    <t>Cloud Run 사용 여부와 배포 유형 및 현황을 확인합니다.</t>
  </si>
  <si>
    <t>#확인불가
현재 {project_id} 프로젝트에 부여받은 권한의 부족으로 인하여 Cloud Run 서비스를 확인할 수 없습니다. 
#조치권고
#점검완료
Cloud Run을 사용하고 있으며, 현황은 아래와 같습니다.
  [타입] / [이름] / [리전]
  - 서비스 / fn-abcd-resizing / asia-northeast3
  - 작업 / abcd-termination / asia-northeast3</t>
  </si>
  <si>
    <t>Cloud Run을 사용하고 있으며, 현황은 아래와 같습니다.
  [타입] / [이름] / [리전]
  - 서비스 / fn-abcd-resizing / asia-northeast3
  - 작업 / abcd-termination / asia-northeast3</t>
  </si>
  <si>
    <t xml:space="preserve">현재 {project_id} 프로젝트에 부여받은 권한의 부족으로 인하여 Cloud Run 서비스를 확인할 수 없습니다. </t>
  </si>
  <si>
    <t>Cloud Storage</t>
  </si>
  <si>
    <t>Cloud Storage 사용 여부</t>
  </si>
  <si>
    <t>Cloud Storage 사용 여부와 현황을 확인합니다.</t>
  </si>
  <si>
    <t># 확인불가
현재 {project_id} 프로젝트에 부여받은 권한의 부족으로 인하여 Cloud Storage 사용 현황을 확인할 수 없습니다. 
# 조치권고
#점검완료
Cloud Storage를 사용하고 있으며, 현황은 아래와 같습니다.
  [버킷 이름] / [위치]
  - abcd-bucket / asia-northeast3</t>
  </si>
  <si>
    <t>Cloud Storage를 사용하고 있으며, 현황은 아래와 같습니다.
  [버킷 이름] / [위치]
  - abcd-bucket / asia-northeast3</t>
  </si>
  <si>
    <t xml:space="preserve">현재 {project_id} 프로젝트에 부여받은 권한의 부족으로 인하여 Cloud Storage 사용 현황을 확인할 수 없습니다. </t>
  </si>
  <si>
    <t>보안 관리</t>
  </si>
  <si>
    <t>Public Access 제한</t>
  </si>
  <si>
    <t>상</t>
  </si>
  <si>
    <t>Public Access 제한 여부 및 용도에 따른 제한을 확인합니다.</t>
  </si>
  <si>
    <t># 확인불가
현재 {project_id} 프로젝트에 부여받은 권한의 부족으로 인하여 Cloud Storage 설정을 확인할 수 없습니다. 
# 조치권고
공개 액세스가 제한되어 있지 않은 Cloud Storage 버킷이 있습니다.
  [버킷 이름]
  - gke-abcd-bucket
공개 액세스 방지는 Cloud Storage 버킷과 객체가 공개 인터넷(외부)에 노출되지 않도록 보호합니다. 
따라서 데이터가 공개 인터넷(외부)에 노출되지 않아야 한다면 공개 액세스 방지를 사용해야 합니다.
#점검완료
모든 Cloud Storage 버킷에서 공개 액세스 방지를 사용하고 있습니다.
  [버킷 이름]
  - gke-abcd-bucket</t>
  </si>
  <si>
    <t>모든 Cloud Storage 버킷에서 공개 액세스 방지를 사용하고 있습니다.
  [버킷 이름]
  - gke-abcd-bucket</t>
  </si>
  <si>
    <t>공개 액세스가 제한되어 있지 않은 Cloud Storage 버킷이 있습니다.
  [버킷 이름]
  - gke-abcd-bucket
공개 액세스 방지는 Cloud Storage 버킷과 객체가 공개 인터넷(외부)에 노출되지 않도록 보호합니다. 
따라서 데이터가 공개 인터넷(외부)에 노출되지 않아야 한다면 공개 액세스 방지를 사용해야 합니다.</t>
  </si>
  <si>
    <t xml:space="preserve">현재 {project_id} 프로젝트에 부여받은 권한의 부족으로 인하여 Cloud Storage 설정을 확인할 수 없습니다. </t>
  </si>
  <si>
    <t>객체 액세스 제어</t>
  </si>
  <si>
    <t>객체 액세스 제어 수준을 확인합니다.</t>
  </si>
  <si>
    <r>
      <rPr>
        <sz val="9"/>
        <color theme="1"/>
        <rFont val="Noto Sans"/>
        <family val="2"/>
      </rPr>
      <t xml:space="preserve">#확인 불가
현재 {project_id} 프로젝트에 부여받은 권한의 부족으로 인하여 Cloud Storage 설정을 확인할 수 없습니다. 
# 조치권고
모든 객체에 대해 균일한 액세스가 적용된 버킷이 있습니다.
  [버킷 이름]
  - gcf-sources-abcd-asia-northeast3
액세스 제어 수준에 따라 버킷의 수준(IAM)과 권한(ACL)이 제어됩니다.
  - 균일한 액세스 제어: 객체 액세스가 전적으로 버킷 수준 권한(IAM)을 통해 제어되므로 버킷의 모든 객체에 균일한 액세스가 확보됩니다.
  - 세분화된 액세스 제어: 객체 액세스가 버킷 수준(IAM)과 객체 수준 권한(ACL) 모두를 통해 제어되므로 객체별로 액세스 권한을 지정할 수 있습니다.
버킷에 필요한 액세스 권한을 확인하시어 액세스 제어 수준 설정을 권장드립니다.
#점검완료
모든 버킷에서 객체에 대해 세분화된 액세스를 적용하고 있습니다.
  [버킷 이름]
  - </t>
    </r>
    <r>
      <rPr>
        <u/>
        <sz val="9"/>
        <color rgb="FF1155CC"/>
        <rFont val="Noto Sans"/>
        <family val="2"/>
      </rPr>
      <t>asia.artifacts.abcd.appspot.com</t>
    </r>
  </si>
  <si>
    <t>모든 버킷에서 객체에 대해 세분화된 액세스를 적용하고 있습니다.
  [버킷 이름]
  - asia.artifacts.abcd.appspot.com</t>
  </si>
  <si>
    <t>모든 객체에 대해 균일한 액세스가 적용된 버킷이 있습니다.
  [버킷 이름]
  - gcf-sources-abcd-asia-northeast3
액세스 제어 수준에 따라 버킷의 수준(IAM)과 권한(ACL)이 제어됩니다.
  - 균일한 액세스 제어: 객체 액세스가 전적으로 버킷 수준 권한(IAM)을 통해 제어되므로 버킷의 모든 객체에 균일한 액세스가 확보됩니다.
  - 세분화된 액세스 제어: 객체 액세스가 버킷 수준(IAM)과 객체 수준 권한(ACL) 모두를 통해 제어되므로 객체별로 액세스 권한을 지정할 수 있습니다.
버킷에 필요한 액세스 권한을 확인하시어 액세스 제어 수준 설정을 권장드립니다.</t>
  </si>
  <si>
    <t>데이터 보호</t>
  </si>
  <si>
    <t>중</t>
  </si>
  <si>
    <t>데이터 보호를 위한 옵션을 사용하고 있는지 확인합니다.</t>
  </si>
  <si>
    <r>
      <rPr>
        <sz val="9"/>
        <color theme="1"/>
        <rFont val="Noto Sans"/>
        <family val="2"/>
      </rPr>
      <t xml:space="preserve">#확인불가 
현재 {project_id} 프로젝트에 부여받은 권한의 부족으로 인하여 Cloud Storage 설정을 확인할 수 없습니다. 
#조치권고
객체 보호 정책이 설정되어 있지 않은 Cloud Storage 버킷이 있습니다.
  [버킷 이름]
  - </t>
    </r>
    <r>
      <rPr>
        <u/>
        <sz val="9"/>
        <color rgb="FF1155CC"/>
        <rFont val="Noto Sans"/>
        <family val="2"/>
      </rPr>
      <t>asia.artifacts.staging.appspot.com</t>
    </r>
    <r>
      <rPr>
        <sz val="9"/>
        <color theme="1"/>
        <rFont val="Noto Sans"/>
        <family val="2"/>
      </rPr>
      <t xml:space="preserve">
Cloud Storage는 실수 또는 악의적인 삭제로부터 데이터를 보호하고 재해 발생 시 데이터를 복구하는 데 도움이 되는 다양한 옵션을 제공합니다. 이러한 옵션은 법적 또는 규제 준수뿐만 아니라 비즈니스에 중요한 데이터를 보호하는 데 유용할 수 있으므로 아래 옵션 중 원하시는 옵션을 선택하여 적용하는 것을 권장드립니다.
- 1) 객체 보존 조치: 보관하려는 객체에 메타데이터 플래그를 적용하여 개별 객체가 삭제되거나 덮어쓰이는 것을 방지할 수 있습니다.
- 2) 소프트 삭제: 삭제된 객체를 복구하고 영구 삭제되기 전에 지정된 기간 동안 보관합니다.
- 3) 버킷 잠금: 버킷별로 데이터 보관 요구사항을 정의하여 지정된 최소 기간 동안 버킷의 모든 객체를 보관합니다. 보관 정책이 축소되거나 삭제되지 않도록 버킷의 보관 정책을 잠급니다.
- 4) 객체 보관 잠금: 객체별로 데이터 보관 요구사항을 정의하여 지정된 최소 기간 동안 객체를 보관합니다. 객체의 보관 정책을 잠가서 축소되거나 삭제되지 않도록 합니다.
#점검완료
모든 Cloud Storage 버킷에서 데이터 보호를 위한 옵션이 설정되어 있습니다.
  [버킷 이름] / [객체 보호 현황]
  - gcf-abcd-asia-northeast3 / 객체 버전 관리
  - gcf-edgh-asia-northeast3 / 소프트 삭제, 객체 버전 관리</t>
    </r>
  </si>
  <si>
    <t>모든 Cloud Storage 버킷에서 데이터 보호를 위한 옵션이 설정되어 있습니다.
  [버킷 이름] / [객체 보호 현황]
  - gcf-abcd-asia-northeast3 / 객체 버전 관리
  - gcf-edgh-asia-northeast3 / 소프트 삭제, 객체 버전 관리</t>
  </si>
  <si>
    <t xml:space="preserve">객체 보호 정책이 설정되어 있지 않은 Cloud Storage 버킷이 있습니다.
  [버킷 이름]
  - asia.artifacts.staging.appspot.com
Cloud Storage는 실수 또는 악의적인 삭제로부터 데이터를 보호하고 재해 발생 시 데이터를 복구하는 데 도움이 되는 다양한 옵션을 제공합니다. 이러한 옵션은 법적 또는 규제 준수뿐만 아니라 비즈니스에 중요한 데이터를 보호하는 데 유용할 수 있으므로 아래 옵션 중 원하시는 옵션을 선택하여 적용하는 것을 권장드립니다.
- 1) 객체 보존 조치: 보관하려는 객체에 메타데이터 플래그를 적용하여 개별 객체가 삭제되거나 덮어쓰이는 것을 방지할 수 있습니다.
- 2) 소프트 삭제: 삭제된 객체를 복구하고 영구 삭제되기 전에 지정된 기간 동안 보관합니다.
- 3) 버킷 잠금: 버킷별로 데이터 보관 요구사항을 정의하여 지정된 최소 기간 동안 버킷의 모든 객체를 보관합니다. 보관 정책이 축소되거나 삭제되지 않도록 버킷의 보관 정책을 잠급니다.
- 4) 객체 보관 잠금: 객체별로 데이터 보관 요구사항을 정의하여 지정된 최소 기간 동안 객체를 보관합니다. 객체의 보관 정책을 잠가서 축소되거나 삭제되지 않도록 합니다.
</t>
  </si>
  <si>
    <t>객체 수명 주기</t>
  </si>
  <si>
    <t>수명 주기 규칙을 사용하고 있는지 확인합니다.</t>
  </si>
  <si>
    <t xml:space="preserve">#확인 불가
현재 {project_id} 프로젝트에 부여받은 권한의 부족으로 인하여 Cloud Storage 설정을 확인할 수 없습니다. 
# 조치권고
수명 주기 규칙이 설정되어 있지 않은 Cloud Storage 버킷이 있습니다.
  [버킷 이름]
  - gcf-efgh-asia-northeast3
Cloud Storage 수명 주기 규칙을 설정하면 자주 사용하지 않는 데이터를 자동으로 더 저렴한 스토리지 클래스로 이동시키고, 보관 기간이 지난 객체와 오래된 버전을 자동으로 삭제하여 불필요한 비용 지출을 막을 수 있습니다. 
비용 절감과 운영 효율성을 위해 Cloud Storage 수명 주기 규칙을 설정하시는 것을 권장드립니다.
#점검완료
모든 Cloud Storage 버킷에서 수명 주기 규칙이 설정되어 있습니다.
  [버킷 이름]
  - gcf-abcd-asia-northeast3 </t>
  </si>
  <si>
    <t xml:space="preserve">모든 Cloud Storage 버킷에서 수명 주기 규칙이 설정되어 있습니다.
  [버킷 이름]
  - gcf-abcd-asia-northeast3 </t>
  </si>
  <si>
    <t>수명 주기 규칙이 설정되어 있지 않은 Cloud Storage 버킷이 있습니다.
  [버킷 이름]
  - gcf-efgh-asia-northeast3
Cloud Storage 수명 주기 규칙을 설정하면 자주 사용하지 않는 데이터를 자동으로 더 저렴한 스토리지 클래스로 이동시키고, 보관 기간이 지난 객체와 오래된 버전을 자동으로 삭제하여 불필요한 비용 지출을 막을 수 있습니다. 
비용 절감과 운영 효율성을 위해 Cloud Storage 수명 주기 규칙을 설정하시는 것을 권장드립니다.</t>
  </si>
  <si>
    <t>Cloud VPN</t>
  </si>
  <si>
    <t>Cloud VPN 사용 여부</t>
  </si>
  <si>
    <t>VPN 사용 여부 및 터널 이중화 여부를 파악합니다.</t>
  </si>
  <si>
    <t>#확인불가
현재 {project_id} 프로젝트에 부여받은 권한의 부족으로 인하여 VPN 사용 현황을 확인할 수 없습니다. 
#조치권고
HA(고가용성) VPN 구성이 되어 있지 않은 VPN 구성이 있습니다.
  [Cloud VPN 터널 이름] / [Cloud VPN 게이트웨이 이름(IP)]
  - tunnel-efgh / vpn-gateway-efgh(34.55.55.66) 
중단 없는 서비스 운영을 위해 HA(고가용성) VPN 구성을 권장드립니다. 
현재 구성 여부를 확인하고, 아직 HA VPN을 도입하지 않으셨다면 비즈니스 연속성 확보를 위해 HA VPN으로 전환하시기를 제안드립니다.
#점검완료
Cloud VPN을 사용하고 있으며, 모든 VPN이 HA(고가용성)으로 구성되어 있습니다.
  [Cloud VPN 터널 이름] / [Cloud VPN 게이트웨이 이름(IP)]
  - tunnel-abcd / vpn-gateway-abcd(34.55.55.55)</t>
  </si>
  <si>
    <t>Cloud VPN을 사용하고 있으며, 모든 VPN이 HA(고가용성)으로 구성되어 있습니다.
  [Cloud VPN 터널 이름] / [Cloud VPN 게이트웨이 이름(IP)]
  - tunnel-abcd / vpn-gateway-abcd(34.55.55.55)</t>
  </si>
  <si>
    <t>HA(고가용성) VPN 구성이 되어 있지 않은 VPN 구성이 있습니다.
  [Cloud VPN 터널 이름] / [Cloud VPN 게이트웨이 이름(IP)]
  - tunnel-efgh / vpn-gateway-efgh(34.55.55.66) 
중단 없는 서비스 운영을 위해 HA(고가용성) VPN 구성을 권장드립니다. 
현재 구성 여부를 확인하고, 아직 HA VPN을 도입하지 않으셨다면 비즈니스 연속성 확보를 위해 HA VPN으로 전환하시기를 제안드립니다.</t>
  </si>
  <si>
    <t xml:space="preserve">현재 {project_id} 프로젝트에 부여받은 권한의 부족으로 인하여 VPN 사용 현황을 확인할 수 없습니다. </t>
  </si>
  <si>
    <t>Cloud VPN 상태</t>
  </si>
  <si>
    <t>VPN 터널 및 BGP 세션 상태를 확인합니다.</t>
  </si>
  <si>
    <t xml:space="preserve">#확인불가
현재 {project_id} 프로젝트에 부여받은 권한의 부족으로 인하여 VPN 설정을 확인할 수 없습니다. 
#조치권고
VPN 터널 및 BGP 세션 상태가 비정상인 VPN이 존재합니다.
  [Cloud VPN 터널 이름] / [Cloud VPN 게이트웨이 이름(IP)] / [VPN 터널 상태] / [BGP 세션 상태]
  - tunnel-abcd / vpn-gateway-efgh(34.55.55.66)  / 수신 패킷 없음 / BGP 설정됨
  - tunnel-efgh / vpn-gateway-efgh(34.55.55.66) / 설정됨 / BGP 미설정
Cloud VPN 터널의 VPN 터널 상태 및 BGP 세션 상태를 확인하시어 서비스 통신에 문제가 없는지 확인하실 것을 권장드립니다
#점검완료
모든 VPN의 VPN 터널 및 BGP 세션 상태가 정상 상태입니다.
  [Cloud VPN 터널 이름] / [Cloud VPN 게이트웨이 이름(IP)]
  - tunnel-efgh / vpn-gateway-efgh(34.55.55.66) </t>
  </si>
  <si>
    <t xml:space="preserve">모든 VPN의 VPN 터널 및 BGP 세션 상태가 정상 상태입니다.
  [Cloud VPN 터널 이름] / [Cloud VPN 게이트웨이 이름(IP)]
  - tunnel-efgh / vpn-gateway-efgh(34.55.55.66) </t>
  </si>
  <si>
    <t>VPN 터널 및 BGP 세션 상태가 비정상인 VPN이 존재합니다.
  [Cloud VPN 터널 이름] / [Cloud VPN 게이트웨이 이름(IP)] / [VPN 터널 상태] / [BGP 세션 상태]
  - tunnel-abcd / vpn-gateway-efgh(34.55.55.66)  / 수신 패킷 없음 / BGP 설정됨
  - tunnel-efgh / vpn-gateway-efgh(34.55.55.66) / 설정됨 / BGP 미설정
Cloud VPN 터널의 VPN 터널 상태 및 BGP 세션 상태를 확인하시어 서비스 통신에 문제가 없는지 확인하실 것을 권장드립니다</t>
  </si>
  <si>
    <t xml:space="preserve">현재 {project_id} 프로젝트에 부여받은 권한의 부족으로 인하여 VPN 설정을 확인할 수 없습니다. </t>
  </si>
  <si>
    <t>Composer</t>
  </si>
  <si>
    <t>Composer 사용 여부</t>
  </si>
  <si>
    <t>Composer를 사용하고 있는지 확인합니다.</t>
  </si>
  <si>
    <t>#확인불가
현재 {project_id} 프로젝트에 부여받은 권한의 부족으로 인하여 Composer 사용 현황을 확인할 수 없습니다. 
# 조치권고
#점검완료
Composer를 사용하고 있으며, 현황은 아래와 같습니다.
  [환경 이름] / [위치] / [Composer 버전] / [Airflow 버전]
  - abcd-airflow / asia-northeast3 / 2.5.4 / 2.6.3</t>
  </si>
  <si>
    <t>Composer를 사용하고 있으며, 현황은 아래와 같습니다.
  [환경 이름] / [위치] / [Composer 버전] / [Airflow 버전]
  - abcd-airflow / asia-northeast3 / 2.5.4 / 2.6.3</t>
  </si>
  <si>
    <t xml:space="preserve">현재 {project_id} 프로젝트에 부여받은 권한의 부족으로 인하여 Composer 사용 현황을 확인할 수 없습니다. </t>
  </si>
  <si>
    <t>안정성 유지 관리</t>
  </si>
  <si>
    <t>Composer 유지보수 기간</t>
  </si>
  <si>
    <t>설정된 유지보수 기간을 확인합니다.</t>
  </si>
  <si>
    <t>#확인불가
현재 {project_id} 프로젝트에 부여받은 권한의 부족으로 인하여 Composer 설정을 확인할 수 없습니다. 
#조치권고
유지보수 기간이 지정되어 있지 않은 Composer 환경이 있습니다.
  [환경 이름]
  - abcd-airflow
Composer 환경의 유지보수 기간을 설정하면 GCP가 Composer 환경을 업데이트하는 시간을 지정할 수 있습니다.
기간을 설정하지 않으면 예기치 않은 시간에 업데이트가 발생하여 워크플로 실행에 일시적인 중단이 생길 수 있습니다. 
따라서 업무 부하가 적은 시간을 유지보수 기간으로 지정하여 서비스 안정성을 확보하고 워크플로 중단을 최소화하시는 것을 권장드립니다.
#점검완료
모든 Composer 환경에 유지보수 기간이 지정되어 있습니다.
  [환경 이름] / [유지보수 기간]
  - abcd-airflow / 금~일요일 19:00 부터 4시간 (KST)</t>
  </si>
  <si>
    <t>모든 Composer 환경에 유지보수 기간이 지정되어 있습니다.
  [환경 이름] / [유지보수 기간]
  - abcd-airflow / 금~일요일 19:00 부터 4시간 (KST)</t>
  </si>
  <si>
    <t>유지보수 기간이 지정되어 있지 않은 Composer 환경이 있습니다.
  [환경 이름]
  - abcd-airflow
Composer 환경의 유지보수 기간을 설정하면 GCP가 Composer 환경을 업데이트하는 시간을 지정할 수 있습니다.
기간을 설정하지 않으면 예기치 않은 시간에 업데이트가 발생하여 워크플로 실행에 일시적인 중단이 생길 수 있습니다. 
따라서 업무 부하가 적은 시간을 유지보수 기간으로 지정하여 서비스 안정성을 확보하고 워크플로 중단을 최소화하시는 것을 권장드립니다.</t>
  </si>
  <si>
    <t xml:space="preserve">현재 {project_id} 프로젝트에 부여받은 권한의 부족으로 인하여 Composer 설정을 확인할 수 없습니다. </t>
  </si>
  <si>
    <t>Composer 네트워킹 유형</t>
  </si>
  <si>
    <t>비공개 IP 를 사용하고 있는지 확인합니다.</t>
  </si>
  <si>
    <t>#확인불가
현재 {project_id} 프로젝트에 부여받은 권한의 부족으로 인하여 Composer 설정을 확인할 수 없습니다. 
#조치권고
네트워킹 유형이 공개 IP인 Composer 환경이 존재합니다.
  [Composer 환경 이름]
  - abcd-airflow
비공개 IP 네트워킹은 Composer GKE 및 Cloud SQL의 통신에서 공개 IP 주소를 사용하지 않는 설정입니다.  
특별히 공개 IP를 이용한 통신이 필요한 경우가 아니라면, 비공개 IP 네트워킹으로 Composer 환경을 구성하실 것을 권장드립니다.
#점검완료
모든 Composer 환경의 네트워킹 유형이 비공개 IP 로 설정되어 있습니다.
  [Composer 환경 이름]
  - abcd-airflow</t>
  </si>
  <si>
    <t>모든 Composer 환경의 네트워킹 유형이 비공개 IP 로 설정되어 있습니다.
  [Composer 환경 이름]
  - abcd-airflow</t>
  </si>
  <si>
    <t>네트워킹 유형이 공개 IP인 Composer 환경이 존재합니다.
  [Composer 환경 이름]
  - abcd-airflow
비공개 IP 네트워킹은 Composer GKE 및 Cloud SQL의 통신에서 공개 IP 주소를 사용하지 않는 설정입니다.  
특별히 공개 IP를 이용한 통신이 필요한 경우가 아니라면, 비공개 IP 네트워킹으로 Composer 환경을 구성하실 것을 권장드립니다.</t>
  </si>
  <si>
    <t>웹서버 액세스 제어</t>
  </si>
  <si>
    <t>웹서버에 대한 액세스 제한 설정 여부를 확인합니다.</t>
  </si>
  <si>
    <t>#확인불가
현재 {project_id} 프로젝트에 부여받은 권한의 부족으로 인하여 Composer 설정을 확인할 수 없습니다. 
#조치권고
모든 IP 주소의 웹서버 액세스를 허용하고 있는 Composer 환경이 존재합니다.
  [Composer 환경 이름]
  - abcd-airflow
웹 서버 네트워크 액세스 제어 기능은 Airflow 웹 서버에 액세스할 수 있는 IP 주소를 제한할 수 있는 설정입니다. 
웹 서버 네트워크 액세스 제어 설정을 사용하여 특정 IP 주소 범위만 UI에 접속하도록 허용하시는 것을 권장드립니다.
#점검완료
모든 Composer 환경에 특정 IP 주소 범위의 웹서버 액세스만을 허용하도록 설정되어 있습니다.
  [Composer 환경 이름]
  - abcd-airflow</t>
  </si>
  <si>
    <t>모든 Composer 환경에 특정 IP 주소 범위의 웹서버 액세스만을 허용하도록 설정되어 있습니다.
  [Composer 환경 이름]
  - abcd-airflow</t>
  </si>
  <si>
    <t>모든 IP 주소의 웹서버 액세스를 허용하고 있는 Composer 환경이 존재합니다.
  [Composer 환경 이름]
  - abcd-airflow
웹 서버 네트워크 액세스 제어 기능은 Airflow 웹 서버에 액세스할 수 있는 IP 주소를 제한할 수 있는 설정입니다. 
웹 서버 네트워크 액세스 제어 설정을 사용하여 특정 IP 주소 범위만 UI에 접속하도록 허용하시는 것을 권장드립니다.</t>
  </si>
  <si>
    <t>Snapshot 설정</t>
  </si>
  <si>
    <t>설정된 Snapshot 일정이 있는지 확인합니다.</t>
  </si>
  <si>
    <t>#확인불가
현재 {project_id} 프로젝트에 부여받은 권한의 부족으로 인하여 Composer 설정을 확인할 수 없습니다. 
#조치권고
Snapshot 일정이 설정되어 있지 않은 Composer 환경이 존재합니다.
  [Composer 환경 이름]
  - abcd-airflow
Composer의 Snapshot 기능은 Airflow 구성, 환경 변수, Custom PyPI 패키지 목록, Task 및 DAG 실행 기록 등을 백업합니다.
Composer 및 Airflow 버전 마이그레이션 시 활용할 수 있으므로, 버전 마이그레이션 혹은 데이터 백업을 위해 Snapshot 기능을 활성화하실 것을 권장드립니다.
#점검완료 
모든 Composer 환경에 Snapshot 일정이 설정되어 있습니다.
  [Composer 환경 이름] / [스냅샷 빈도]
  - abcd-airflow / 매일 18:00 (KST)</t>
  </si>
  <si>
    <t>모든 Composer 환경에 Snapshot 일정이 설정되어 있습니다.
  [Composer 환경 이름] / [스냅샷 빈도]
  - abcd-airflow / 매일 18:00 (KST)</t>
  </si>
  <si>
    <t xml:space="preserve">Snapshot 일정이 설정되어 있지 않은 Composer 환경이 존재합니다.
  [Composer 환경 이름]
  - abcd-airflow
Composer의 Snapshot 기능은 Airflow 구성, 환경 변수, Custom PyPI 패키지 목록, Task 및 DAG 실행 기록 등을 백업합니다.
Composer 및 Airflow 버전 마이그레이션 시 활용할 수 있으므로, 버전 마이그레이션 혹은 데이터 백업을 위해 Snapshot 기능을 활성화하실 것을 권장드립니다.
</t>
  </si>
  <si>
    <t>Database</t>
  </si>
  <si>
    <t>데이터베이스 서비스 사용 여부 및 현황</t>
  </si>
  <si>
    <t>데이터베이스 사용 여부와 현황을 파악합니다.</t>
  </si>
  <si>
    <t>#확인불가
현재 {project_id} 프로젝트에 부여받은 권한의 부족으로 인하여 데이터베이스 서비스를 확인할 수 없습니다. 
#조치권고
#점검완료
데이터베이스 서비스를 사용하고 있으며, 현황은 아래와 같습니다.
  [데이터베이스 서비스 이름] / [인스턴스 ID] / [위치] / [유형]
  - Cloud SQL / sql-abcd / asia-northeast3-a / MySQL 8.0
  - Alloy DB / sql-abcdreplica / asia-northeast3-a / postgresql</t>
  </si>
  <si>
    <t>데이터베이스 서비스를 사용하고 있으며, 현황은 아래와 같습니다.
  [데이터베이스 서비스 이름] / [인스턴스 ID] / [위치] / [유형]
  - Cloud SQL / sql-abcd / asia-northeast3-a / MySQL 8.0
  - Alloy DB / sql-abcdreplica / asia-northeast3-a / postgresql</t>
  </si>
  <si>
    <t xml:space="preserve">현재 {project_id} 프로젝트에 부여받은 권한의 부족으로 인하여 데이터베이스 서비스를 확인할 수 없습니다. </t>
  </si>
  <si>
    <t>고가용성</t>
  </si>
  <si>
    <t>고가용성 설정 여부를 확인합니다.</t>
  </si>
  <si>
    <t>#확인불가
현재 {project_id} 프로젝트에 부여받은 권한의 부족으로 인하여 데이터베이스 서비스를 확인할 수 없습니다. 
#조치권고
고가용성 설정이 되어 있지 않은 데이터베이스가 존재합니다.
  [데이터베이스 서비스 이름] / [인스턴스 ID]
  - Cloud SQL / sql-abcd-replica
고가용성 설정은 데이터베이스를 여러 영역(Zone)에 복제하여 메인 인스턴스에 문제가 생길 경우 자동으로 빠르게 보조 인스턴스로 전환합니다. 
이를 통해 예기치 않은 다운타임을 최소화하고, 고객의 핵심 비즈니스 서비스에 대한 연속성과 안정성을 보장할 수 있으므로 고가용성 설정을 권장드립니다.
#점검완료
모든 데이터베이스에 고가용성 설정이 적용되어 있습니다.
  [데이터베이스 서비스 이름] / [인스턴스 ID]
  - Cloud SQL / sql-abcd</t>
  </si>
  <si>
    <t>모든 데이터베이스에 고가용성 설정이 적용되어 있습니다.
  [데이터베이스 서비스 이름] / [인스턴스 ID]
  - Cloud SQL / sql-abcd</t>
  </si>
  <si>
    <t>고가용성 설정이 되어 있지 않은 데이터베이스가 존재합니다.
  [데이터베이스 서비스 이름] / [인스턴스 ID]
  - Cloud SQL / sql-abcd-replica
고가용성 설정은 데이터베이스를 여러 영역(Zone)에 복제하여 메인 인스턴스에 문제가 생길 경우 자동으로 빠르게 보조 인스턴스로 전환합니다. 
이를 통해 예기치 않은 다운타임을 최소화하고, 고객의 핵심 비즈니스 서비스에 대한 연속성과 안정성을 보장할 수 있으므로 고가용성 설정을 권장드립니다.</t>
  </si>
  <si>
    <t>Backup</t>
  </si>
  <si>
    <t>데이터베이스에 대한 백업이 진행 되고 있는지 확인 합니다.</t>
  </si>
  <si>
    <t xml:space="preserve">#확인불가
현재 {project_id} 프로젝트에 부여받은 권한의 부족으로 인하여 데이터베이스 서비스를 확인할 수 없습니다. 
#조치권고
백업 설정이 되어 있지 않은 데이터베이스가 존재합니다.
  [데이터베이스 서비스 이름] / [인스턴스 ID]
  - Cloud SQL / sql-efgh
백업 설정을 통해 데이터 스냅샷을 자동 생성하여 시스템 오류, 재해 또는 사용자 실수 발생 시 중요한 데이터를 복구할 수 있습니다. 
데이터의 안전과 무결성을 보장하기 위한 정기적인 백업 설정을 권장드립니다.
#점검완료
모든 데이터베이스에 백업 설정이 적용되어 있습니다.
  [데이터베이스 서비스 이름] / [인스턴스 ID] 
  - Cloud SQL / sql-abcd </t>
  </si>
  <si>
    <t xml:space="preserve">모든 데이터베이스에 백업 설정이 적용되어 있습니다.
  [데이터베이스 서비스 이름] / [인스턴스 ID] 
  - Cloud SQL / sql-abcd </t>
  </si>
  <si>
    <t>백업 설정이 되어 있지 않은 데이터베이스가 존재합니다.
  [데이터베이스 서비스 이름] / [인스턴스 ID]
  - Cloud SQL / sql-efgh
백업 설정을 통해 데이터 스냅샷을 자동 생성하여 시스템 오류, 재해 또는 사용자 실수 발생 시 중요한 데이터를 복구할 수 있습니다. 
데이터의 안전과 무결성을 보장하기 위한 정기적인 백업 설정을 권장드립니다.</t>
  </si>
  <si>
    <t>유지보수</t>
  </si>
  <si>
    <t>유지보수 설정을 확인합니다.</t>
  </si>
  <si>
    <t>#확인불가
현재 {project_id} 프로젝트에 부여받은 권한의 부족으로 인하여 데이터베이스 서비스를 확인할 수 없습니다. 
#조치권고
유지보수 설정이 되어 있지 않은 데이터베이스가 존재합니다.
  [데이터베이스 서비스 이름] / [인스턴스 ID]
  - Cloud SQL / sql-abcd-replica 
유지보수 기간을 지정하지 않으면 GCP가 예상치 못한 시간에 업데이트 및 패치를 적용하여 서비스가 일시적으로 중단될 수 있습니다. 
데이터베이스의 안정성을 확보하고 비즈니스 운영에 미치는 영향을 최소화하기 위해 업무 부하가 가장 적은 시간대를 유지보수 기간으로 설정하시는 것을 권장드립니다.
#점검완료
모든 데이터베이스에 유지보수 설정이 적용되어 있습니다.
  [데이터베이스 서비스 이름] / [인스턴스 ID] / [유지보수 설정]
  - Cloud SQL / sql-abcd / 수요일 오전 05:00~06:00 (KST)</t>
  </si>
  <si>
    <t>모든 데이터베이스에 유지보수 설정이 적용되어 있습니다.
  [데이터베이스 서비스 이름] / [인스턴스 ID] / [유지보수 설정]
  - Cloud SQL / sql-abcd / 수요일 오전 05:00~06:00 (KST)</t>
  </si>
  <si>
    <t>유지보수 설정이 되어 있지 않은 데이터베이스가 존재합니다.
  [데이터베이스 서비스 이름] / [인스턴스 ID]
  - Cloud SQL / sql-abcd-replica 
유지보수 기간을 지정하지 않으면 GCP가 예상치 못한 시간에 업데이트 및 패치를 적용하여 서비스가 일시적으로 중단될 수 있습니다. 
데이터베이스의 안정성을 확보하고 비즈니스 운영에 미치는 영향을 최소화하기 위해 업무 부하가 가장 적은 시간대를 유지보수 기간으로 설정하시는 것을 권장드립니다.</t>
  </si>
  <si>
    <t>데이터 암호화</t>
  </si>
  <si>
    <t>데이터 전송과정에 암호화 여부를 확인 합니다.</t>
  </si>
  <si>
    <t>#확인불가
현재 {project_id} 프로젝트에 부여받은 권한의 부족으로 인하여 데이터베이스 서비스를 확인할 수 없습니다. 
#조치권고
암호화되지 않은 네트워크 트래픽을 허용하는 데이터베이스가 존재합니다.
  [데이터베이스 서비스 이름] / [인스턴스 ID]
  - Cloud SQL / sql-abcd-replica 
암호화되지 않은 네트워크 트래픽을 허용하면 전송 중 데이터가 암호화되지 않으며 데이터를 가로채서 검사하려고 시도하는 승인되지 않은 클라이언트의 도청에 취약할 수 있습니다.
안전한 데이터 전송을 보장할 수 있도록 전송 중인 데이터 암호화를 사용하는 것을 권장드립니다.
#점검완료
모든 데이터베이스에서 데이터 전송 간 암호화를 적용하고 있습니다.
  [데이터베이스 서비스 이름] / [인스턴스 ID] 
  - Cloud SQL / sql-abcd</t>
  </si>
  <si>
    <t>모든 데이터베이스에서 데이터 전송 간 암호화를 적용하고 있습니다.
  [데이터베이스 서비스 이름] / [인스턴스 ID] 
  - Cloud SQL / sql-abcd</t>
  </si>
  <si>
    <t>암호화되지 않은 네트워크 트래픽을 허용하는 데이터베이스가 존재합니다.
  [데이터베이스 서비스 이름] / [인스턴스 ID]
  - Cloud SQL / sql-abcd-replica 
암호화되지 않은 네트워크 트래픽을 허용하면 전송 중 데이터가 암호화되지 않으며 데이터를 가로채서 검사하려고 시도하는 승인되지 않은 클라이언트의 도청에 취약할 수 있습니다.
안전한 데이터 전송을 보장할 수 있도록 전송 중인 데이터 암호화를 사용하는 것을 권장드립니다.</t>
  </si>
  <si>
    <t>읽기 복제본</t>
  </si>
  <si>
    <t>읽기 성능 향상을 위한 복제본 설정 여부를 확인합니다.</t>
  </si>
  <si>
    <t>#확인불가
현재 {project_id} 프로젝트에 부여받은 권한의 부족으로 인하여 데이터베이스 서비스를 확인할 수 없습니다. 
#조치권고
읽기 복제본 구성이 없는 데이터베이스가 존재합니다.
  [데이터베이스 서비스 이름]  / [인스턴스 ID]
  - Cloud SQL / sql-prd-efgh / 미사용
읽기 복제본(Read Replica)은 메인 인스턴스의 부하를 분산하여 성능 저하를 방지하고 읽기 중심의 워크로드 처리 능력을 크게 향상 시킬 수 있습니다.
또한 장애 복구에도 활용될 수 있으므로 읽기 작업이 많은 데이터베이스의 경우 읽기 복제본(Read Replica) 구성을 권장드립니다.
#점검완료
모든 데이터베이스에서 읽기 복제본이 구성되어 있습니다.
  [데이터베이스 서비스 이름]  / [인스턴스 ID]
  - Cloud SQL / sql-prd-abcd</t>
  </si>
  <si>
    <t>모든 데이터베이스에서 읽기 복제본이 구성되어 있습니다.
  [데이터베이스 서비스 이름]  / [인스턴스 ID]
  - Cloud SQL / sql-prd-abcd</t>
  </si>
  <si>
    <t xml:space="preserve">읽기 복제본 구성이 없는 데이터베이스가 존재합니다.
  [데이터베이스 서비스 이름]  / [인스턴스 ID]
  - Cloud SQL / sql-prd-efgh / 미사용
읽기 복제본(Read Replica)은 메인 인스턴스의 부하를 분산하여 성능 저하를 방지하고 읽기 중심의 워크로드 처리 능력을 크게 향상 시킬 수 있습니다.
또한 장애 복구에도 활용될 수 있으므로 읽기 작업이 많은 데이터베이스의 경우 읽기 복제본(Read Replica) 구성을 권장드립니다.
</t>
  </si>
  <si>
    <t>인스턴스 삭제 방지</t>
  </si>
  <si>
    <t>인스턴스 삭제 보호가 활성화되어있는지 확인합니다.</t>
  </si>
  <si>
    <t xml:space="preserve">#확인불가
현재 {project_id} 프로젝트에 부여받은 권한의 부족으로 인하여 데이터베이스 서비스를 확인할 수 없습니다. 
#조치권고
삭제 보호 설정이 되어 있지 않은 데이터베이스가 존재합니다.
  [데이터베이스 서비스 이름] / [인스턴스 ID]
  - Cloud SQL / sql-abcd
데이터베이스 삭제 보호 기능을 활성화하여 사용자의 실수로 인한 인스턴스 삭제를 방지할 수 있습니다.
예기치않은 서비스 중단과 데이터 손실 방지를 위해 삭제 보호 기능 활성화를 권장드립니다.
#점검완료
모든 데이터베이스에 삭제 보호 설정이 적용되어 있습니다.
  [데이터베이스 서비스 이름] / [인스턴스 ID]
  - Cloud SQL / sql-abcd-replica </t>
  </si>
  <si>
    <t xml:space="preserve">모든 데이터베이스에 삭제 보호 설정이 적용되어 있습니다.
  [데이터베이스 서비스 이름] / [인스턴스 ID]
  - Cloud SQL / sql-abcd-replica </t>
  </si>
  <si>
    <t>삭제 보호 설정이 되어 있지 않은 데이터베이스가 존재합니다.
  [데이터베이스 서비스 이름] / [인스턴스 ID]
  - Cloud SQL / sql-abcd
데이터베이스 삭제 보호 기능을 활성화하여 사용자의 실수로 인한 인스턴스 삭제를 방지할 수 있습니다.
예기치않은 서비스 중단과 데이터 손실 방지를 위해 삭제 보호 기능 활성화를 권장드립니다.</t>
  </si>
  <si>
    <t>Dataproc</t>
  </si>
  <si>
    <t>Dataproc 사용 여부</t>
  </si>
  <si>
    <t>Dataproc 사용 여부를 확인합니다.</t>
  </si>
  <si>
    <t>#확인불가
현재 {project_id} 프로젝트에 부여받은 권한의 부족으로 인하여 Dataproc 사용 여부를 확인할 수 없습니다. 
#조치권고
#점검완료
Dataproc을 사용하고 있으며, 현황은 아래와 같습니다.
  [이름] / [유형]
  - prd-workbench / workbench</t>
  </si>
  <si>
    <t>Dataproc을 사용하고 있으며, 현황은 아래와 같습니다.
  [이름] / [유형]
  - prd-workbench / workbench</t>
  </si>
  <si>
    <t xml:space="preserve">현재 {project_id} 프로젝트에 부여받은 권한의 부족으로 인하여 Dataproc 사용 여부를 확인할 수 없습니다. </t>
  </si>
  <si>
    <t>Vertex AI</t>
  </si>
  <si>
    <t>Vertex AI 사용 여부</t>
  </si>
  <si>
    <t>Vertex AI 사용 여부를 확인합니다.</t>
  </si>
  <si>
    <t>#확인불가
현재 {project_id} 프로젝트에 부여받은 권한의 부족으로 인하여 Vertex AI 사용 여부를 확인할 수 없습니다. 
#조치권고
#점검완료
Vertex AI를 사용하고 있습니다.</t>
  </si>
  <si>
    <t>Vertex AI를 사용하고 있습니다.</t>
  </si>
  <si>
    <t xml:space="preserve">현재 {project_id} 프로젝트에 부여받은 권한의 부족으로 인하여 Vertex AI 사용 여부를 확인할 수 없습니다. </t>
  </si>
  <si>
    <t>비공개 액세스</t>
  </si>
  <si>
    <t>비공개 액세스가 활성화되어 있는지 확인합니다.</t>
  </si>
  <si>
    <t>#확인불가
현재 {project_id} 프로젝트에 부여받은 권한의 부족으로 인하여 Vertex AI 비공개 액세스 활성 여부를 확인할 수 없습니다. 
#조치권고
공개 액세스를 사용하는 Vertex AI 리소스가 존재합니다.
  [이름] / [리소스 유형]
  - dev-workbench / Workbench 인스턴스
  - dev-endpoint / 예측 엔드포인트
비공개 액세스 방법을 사용하면 Vertex AI의 민감한 학습 데이터와 모델 엔드포인트를 인터넷 노출 없이 보호할 수 있습니다.
필요 여부를 판단하시어 Vertex AI 리소스의 비공개 액세스 구성을 권장드립니다.
#점검완료
모든 Vertex AI 리소스에 비공개 액세스가 활성화되어 있습니다.</t>
  </si>
  <si>
    <t>모든 Vertex AI 리소스에 비공개 액세스가 활성화되어 있습니다.</t>
  </si>
  <si>
    <t>공개 액세스를 사용하는 Vertex AI 리소스가 존재합니다.
  [이름] / [리소스 유형]
  - dev-workbench / Workbench 인스턴스
  - dev-endpoint / 예측 엔드포인트
비공개 액세스 방법을 사용하면 Vertex AI의 민감한 학습 데이터와 모델 엔드포인트를 인터넷 노출 없이 보호할 수 있습니다.
필요 여부를 판단하시어 Vertex AI 리소스의 비공개 액세스 구성을 권장드립니다.</t>
  </si>
  <si>
    <t xml:space="preserve">현재 {project_id} 프로젝트에 부여받은 권한의 부족으로 인하여 Vertex AI 비공개 액세스 활성 여부를 확인할 수 없습니다. </t>
  </si>
  <si>
    <t>비용 최적화</t>
  </si>
  <si>
    <t>Disks</t>
  </si>
  <si>
    <t>디스크</t>
  </si>
  <si>
    <t>사용하지 않는 디스크가 있는지 확인합니다.</t>
  </si>
  <si>
    <t>#확인불가
현재 {project_id} 프로젝트에 부여받은 권한의 부족으로 인하여 Disk 리소스를 확인할 수 없습니다.
#조치권고
연결된 인스턴스가 없는 디스크가 존재합니다.
  [Disk 이름]
  - asia-northeast3-data-disk
사용하고 있지 않은 디스크를 삭제하면 불필요한 스토리지 비용을 절감할 수 있습니다. 
디스크의 사용 여부를 판단하시어 더 이상 사용하지 않는 디스크는 스냅샷 생성 등 데이터 백업 여부를 확인하신 후 삭제하시는 것을 권장드립니다.
#점검완료
모든 디스크에 인스턴스가 연결되어 있습니다.
  [Disk 이름]
  - asia-northeast3-a-vm-abcd-apm-boot-disk</t>
  </si>
  <si>
    <t>모든 디스크에 인스턴스가 연결되어 있습니다.
  [Disk 이름]
  - asia-northeast3-a-vm-abcd-apm-boot-disk</t>
  </si>
  <si>
    <t>연결된 인스턴스가 없는 디스크가 존재합니다.
  [Disk 이름]
  - asia-northeast3-data-disk
사용하고 있지 않은 디스크를 삭제하면 불필요한 스토리지 비용을 절감할 수 있습니다. 
디스크의 사용 여부를 판단하시어 더 이상 사용하지 않는 디스크는 스냅샷 생성 등 데이터 백업 여부를 확인하신 후 삭제하시는 것을 권장드립니다.
#점검완료
모든 디스크에 인스턴스가 연결되어 있습니다.
  [Disk 이름]
  - asia-northeast3-a-vm-abcd-apm-boot-disk</t>
  </si>
  <si>
    <t>현재 {project_id} 프로젝트에 부여받은 권한의 부족으로 인하여 Disk 리소스를 확인할 수 없습니다.</t>
  </si>
  <si>
    <t>External IP</t>
  </si>
  <si>
    <t>외부 IP</t>
  </si>
  <si>
    <t>사용하지 않는 고정 외부 IP가 존재하는지 확인합니다.</t>
  </si>
  <si>
    <t>#확인불가
현재 {project_id}프로젝트에 부여받은 권한의 부족으로 인하여 외부 IP 현황을 확인할 수 없습니다. 
#조치권고
리소스에 연결되어 있지 않은 고정 외부 IP가 존재합니다.
  [외부 IP 이름] / [IP]
  - addr-cdef-cdn / 34.x.x.x 
고정 외부 IP는 연결된 인스턴스 혹은 전달 규칙이 없을 경우 사용 중인 고정 IP 및 임시 IP 주소보다 높은 요금이 청구됩니다.
해당 고정 외부 IP의 사용 여부를 검토하시어 필요하지 않은 IP의 경우, 고정 외부 IP 반납을 권장드립니다.
#점검완료
모든 고정 외부 IP에 리소스가 정상적으로 연결되어 있습니다.
  [외부 IP 이름] / [IP]
   - addr-abcd-cdn / 34.x.x.x</t>
  </si>
  <si>
    <t>모든 고정 외부 IP에 리소스가 정상적으로 연결되어 있습니다.
  [외부 IP 이름] / [IP]
   - addr-abcd-cdn / 34.x.x.x</t>
  </si>
  <si>
    <t>리소스에 연결되어 있지 않은 고정 외부 IP가 존재합니다.
  [외부 IP 이름] / [IP]
  - addr-cdef-cdn / 34.x.x.x 
고정 외부 IP는 연결된 인스턴스 혹은 전달 규칙이 없을 경우 사용 중인 고정 IP 및 임시 IP 주소보다 높은 요금이 청구됩니다.
해당 고정 외부 IP의 사용 여부를 검토하시어 필요하지 않은 IP의 경우, 고정 외부 IP 반납을 권장드립니다.</t>
  </si>
  <si>
    <t xml:space="preserve">현재 {project_id}프로젝트에 부여받은 권한의 부족으로 인하여 외부 IP 현황을 확인할 수 없습니다. </t>
  </si>
  <si>
    <t>Cloud NGFW</t>
  </si>
  <si>
    <t>VPC 방화벽 규칙</t>
  </si>
  <si>
    <t>VPC 방화벽 규칙 사용 여부를 확인하여 ANY로 등록된 방화벽 규칙이 있는지 확인합니다.</t>
  </si>
  <si>
    <t xml:space="preserve">#확인불가
현재 {project_id} 프로젝트에 부여받은 권한 부족으로 인하여 VPC 방화벽 규칙 현황을 확인할 수 없습니다. 
#조치권고
ANY로 등록된 VPC 방화벽 규칙이 존재합니다.
  [방화벽 규칙 이름]
  - vpc-abcd-allow-all-ingress
해당 VPC 방화벽 규칙에 영향을 받는 인스턴스와 서비스를 검토하시어 모든 소스에 대한 접근이 필요하지 않은 경우 특정 IP에 대한 허용 규칙으로 수정하시길 권장드립니다.
또한 default 방화벽 규칙은 rdp, icmp,  ssh 포트에 대하여 모든 소스 IP에 대한 접근을 허용하는 규칙이므로, 필요하지 않을 경우 삭제를 권장드립니다.
#점검완료
ANY로 등록된 VPC 방화벽 규칙이 없습니다. </t>
  </si>
  <si>
    <t xml:space="preserve">ANY로 등록된 VPC 방화벽 규칙이 없습니다. </t>
  </si>
  <si>
    <t xml:space="preserve">ANY로 등록된 VPC 방화벽 규칙이 존재합니다.
  [방화벽 규칙 이름]
  - vpc-abcd-allow-all-ingress
해당 VPC 방화벽 규칙에 영향을 받는 인스턴스와 서비스를 검토하시어 모든 소스에 대한 접근이 필요하지 않은 경우 특정 IP에 대한 허용 규칙으로 수정하시길 권장드립니다.
또한 default 방화벽 규칙은 rdp, icmp,  ssh 포트에 대하여 모든 소스 IP에 대한 접근을 허용하는 규칙이므로, 필요하지 않을 경우 삭제를 권장드립니다.
</t>
  </si>
  <si>
    <t xml:space="preserve">현재 {project_id} 프로젝트에 부여받은 권한 부족으로 인하여 VPC 방화벽 규칙 현황을 확인할 수 없습니다. </t>
  </si>
  <si>
    <t>네트워크 방화벽 정책</t>
  </si>
  <si>
    <t>네트워크 방화벽 정책 사용 여부를 확인하여 ANY로 등록된 방화벽 규칙이 있는지 확인합니다.</t>
  </si>
  <si>
    <t xml:space="preserve">#확인불가
현재 {project_id} 프로젝트에 부여받은 권한 부족으로 인하여 네트워크 방화벽 정책 현황을 확인할 수 없습니다. 
#조치권고
ANY로 등록된 네트워크 방화벽의 방화벽 규칙이 존재합니다.
  [방화벽 규칙 이름]
  - vpc-abcd-allow-all-ingress
해당 네트워크 방화벽 정책에 영향을 받는 인스턴스와 서비스를 검토하시어 모든 소스에 대한 접근이 필요하지 않은 경우 특정 IP에 대한 허용 규칙으로 수정하시길 권장드립니다.
#점검완료
ANY로 등록된 네트워크 방화벽의 방화벽 규칙이 없습니다. </t>
  </si>
  <si>
    <t xml:space="preserve">ANY로 등록된 네트워크 방화벽의 방화벽 규칙이 없습니다. </t>
  </si>
  <si>
    <t xml:space="preserve">ANY로 등록된 네트워크 방화벽의 방화벽 규칙이 존재합니다.
  [방화벽 규칙 이름]
  - vpc-abcd-allow-all-ingress
해당 네트워크 방화벽 정책에 영향을 받는 인스턴스와 서비스를 검토하시어 모든 소스에 대한 접근이 필요하지 않은 경우 특정 IP에 대한 허용 규칙으로 수정하시길 권장드립니다.
</t>
  </si>
  <si>
    <t xml:space="preserve">현재 {project_id} 프로젝트에 부여받은 권한 부족으로 인하여 네트워크 방화벽 정책 현황을 확인할 수 없습니다. </t>
  </si>
  <si>
    <t>Cloud Quotas</t>
  </si>
  <si>
    <t>할당량 및 시스템 한도</t>
  </si>
  <si>
    <t>할당량 및 시스템 한도 조정이 필요한 서비스가 있는지 확인합니다.</t>
  </si>
  <si>
    <t>#확인불가
현재 {project_id} 프로젝트에 부여받은 권한 부족으로 인해 할당량을 확인할 수 없습니다.
#조치권고
현재 사용량이 90% 이상인 서비스가 존재합니다.
  [서비스] / [이름] / [유형] / [현재 사용량 비율]
  - Compute Engine API / Firewall rules / 할당량 / 95%
할당량 및 시스템 한도가 한도에 도달하면 해당 리소스를 더 이상 생성할 수 없게 됩니다. 
이로 인해 오토스케일링이 실패하거나 신규 배포가 중단되는 등 서비스 확장에 예기치 않은 제약이 발생할 수 있습니다.
사용량이 높은 서비스에 대해서는 사전에 상향 조정 작업을 진행하여 자원 부족 문제를 예방하시기를 권장 합니다.
#점검완료
현재 사용량이 90% 이상인 서비스가 없습니다.</t>
  </si>
  <si>
    <t>현재 사용량이 90% 이상인 서비스가 없습니다.</t>
  </si>
  <si>
    <t>현재 사용량이 90% 이상인 서비스가 존재합니다.
  [서비스] / [이름] / [유형] / [현재 사용량 비율]
  - Compute Engine API / Firewall rules / 할당량 / 95%
할당량 및 시스템 한도가 한도에 도달하면 해당 리소스를 더 이상 생성할 수 없게 됩니다. 
이로 인해 오토스케일링이 실패하거나 신규 배포가 중단되는 등 서비스 확장에 예기치 않은 제약이 발생할 수 있습니다.
사용량이 높은 서비스에 대해서는 사전에 상향 조정 작업을 진행하여 자원 부족 문제를 예방하시기를 권장 합니다.</t>
  </si>
  <si>
    <t>현재 {project_id} 프로젝트에 부여받은 권한 부족으로 인해 할당량을 확인할 수 없습니다.</t>
  </si>
  <si>
    <t>IAM</t>
  </si>
  <si>
    <t>사용자 계정 및 권한</t>
  </si>
  <si>
    <t>소유자 및 편집자 권한이 부여되어 있는 IAM 계정을 확인합니다.</t>
  </si>
  <si>
    <t>#확인불가
현재 {project_id} 프로젝트에 부여받은 권한 부족으로 인해 IAM 현황을 확인 할 수 없습니다. 
#조치권고
소유자 및 편집자 권한이 부여되어 있는 IAM 계정이 존재합니다.
  [사용자 계정] / [권한]
  - abcd@abcd.com / 소유자
  - efgh@abcd.com / 편집자
IAM은 최소 권한의 보안 원칙을 적용하여 실제로 필요한 것보다 더 많은 권한을 갖지 않도록 해야 합니다. 
특정 Google Cloud 리소스에 대한 세부적인 액세스 권한을 부여하고 다른 리소스에 대한 액세스를 방지할 수 있습니다. 
목적과 사용 유무가 확실하지 않은 계정에 대해서는 보안 강화를 위해 서비스 영향도 파악 후 삭제를 권장드립니다. 
#점검완료
IAM에 등록된 사용자 계정의 권한 현황은 아래와 같습니다.
  [사용자 계정] / [권한]
  - abcd@abcd.com / Compute 관리자, 로그 뷰어, 모니터링 관리자
  - efgh@abcd.com / Kubernetes Engine 관리자, 로그 뷰어, 모니터링 관리자</t>
  </si>
  <si>
    <t>IAM에 등록된 사용자 계정의 권한 현황은 아래와 같습니다.
  [사용자 계정] / [권한]
  - abcd@abcd.com / Compute 관리자, 로그 뷰어, 모니터링 관리자
  - efgh@abcd.com / Kubernetes Engine 관리자, 로그 뷰어, 모니터링 관리자</t>
  </si>
  <si>
    <t xml:space="preserve">소유자 및 편집자 권한이 부여되어 있는 IAM 계정이 존재합니다.
  [사용자 계정] / [권한]
  - abcd@abcd.com / 소유자
  - efgh@abcd.com / 편집자
IAM은 최소 권한의 보안 원칙을 적용하여 실제로 필요한 것보다 더 많은 권한을 갖지 않도록 해야 합니다. 
특정 Google Cloud 리소스에 대한 세부적인 액세스 권한을 부여하고 다른 리소스에 대한 액세스를 방지할 수 있습니다. 
목적과 사용 유무가 확실하지 않은 계정에 대해서는 보안 강화를 위해 서비스 영향도 파악 후 삭제를 권장드립니다. 
</t>
  </si>
  <si>
    <t xml:space="preserve">현재 {project_id} 프로젝트에 부여받은 권한 부족으로 인해 IAM 현황을 확인 할 수 없습니다. </t>
  </si>
  <si>
    <t>Instance Groups</t>
  </si>
  <si>
    <t>자동 확장 사용 여부</t>
  </si>
  <si>
    <t>자동 확장(Auto Scailing) 사용 여부와 MIG 현황을 확인합니다.</t>
  </si>
  <si>
    <t xml:space="preserve">#확인불가 
현재 {project_id} 프로젝트에 부여받은 권한 부족으로 인해 인스턴스 그룹 현황을 확인할 수 없습니다.
#조치권고 
#점검완료 
자동 확장(Auto Scaling)을 사용하고 있으며, 현황은 아래와 같습니다.
  [인스턴스 그룹]
   - ig-web-prod </t>
  </si>
  <si>
    <t xml:space="preserve">자동 확장(Auto Scaling)을 사용하고 있으며, 현황은 아래와 같습니다.
  [인스턴스 그룹]
   - ig-web-prod </t>
  </si>
  <si>
    <t>현재 {project_id} 프로젝트에 부여받은 권한 부족으로 인해 인스턴스 그룹 현황을 확인할 수 없습니다.</t>
  </si>
  <si>
    <t>Instance Templates</t>
  </si>
  <si>
    <t>자동 확장을 위한 인스턴스 템플릿 설정</t>
  </si>
  <si>
    <t>자동 확장(Auto Scailing)을 위한 인스턴스 템플릿 설정을 확인합니다.</t>
  </si>
  <si>
    <t>#확인불가 
현재 {project_id} 프로젝트에 부여받은 권한 부족으로 인해 인스턴스 그룹 현황을 확인할 수 없습니다.
#조치권고 
#점검완료 
인스턴스 그룹(MIG)에서 사용 중인 인스턴스 템플릿은 아래와 같습니다.
 [인스턴스 그룹] / [사용 중인 템플릿]  
 - ig-web-prod / instance-template-v1</t>
  </si>
  <si>
    <t>인스턴스 그룹(MIG)에서 사용 중인 인스턴스 템플릿은 아래와 같습니다.
 [인스턴스 그룹] / [사용 중인 템플릿]  
 - ig-web-prod / instance-template-v1</t>
  </si>
  <si>
    <t>Key Management</t>
  </si>
  <si>
    <t>키 관리 사용 여부</t>
  </si>
  <si>
    <t>키 관리 사용 여부 및 현황을 확인합니다.</t>
  </si>
  <si>
    <t>#확인불가 
현재 {project_id} 프로젝트에 부여받은 권한 부족으로 인해 키 관리 현황을 확인할 수 없습니다.
#조치권고 
#점검완료 
Key Management를 사용하고 있으며, 현황은 아래와 같습니다. 
  [키링] / [키] / [보호 수준] / [용도] /  [순환]
  - testkeyring / testkey / 소프트웨어 / 대칭 암호화,복호화 / 90일마다</t>
  </si>
  <si>
    <t>Key Management를 사용하고 있으며, 현황은 아래와 같습니다. 
  [키링] / [키] / [보호 수준] / [용도] /  [순환]
  - testkeyring / testkey / 소프트웨어 / 대칭 암호화,복호화 / 90일마다</t>
  </si>
  <si>
    <t>현재 {project_id} 프로젝트에 부여받은 권한 부족으로 인해 키 관리 현황을 확인할 수 없습니다.</t>
  </si>
  <si>
    <t>Kubernetes Engine</t>
  </si>
  <si>
    <t>GKE 사용 여부</t>
  </si>
  <si>
    <t>GKE 사용 여부와 현황을 확인합니다.</t>
  </si>
  <si>
    <t>#확인불가
현재 {project_id} 프로젝트에 부여받은 권한 부족으로 인해 GKE 사용 현황을 확인할 수 없습니다.
#조치권고 
#점검완료 
GKE를 사용하고 있으며, 현황은 아래와 같습니다.
  [클러스터 이름] / [위치] / [모드]
   - gke-cluster-prod-01 / aisa-northeast3 / Autopliot</t>
  </si>
  <si>
    <t>GKE를 사용하고 있으며, 현황은 아래와 같습니다.
  [클러스터 이름] / [위치] / [모드]
   - gke-cluster-prod-01 / aisa-northeast3 / Autopliot</t>
  </si>
  <si>
    <t>현재 {project_id} 프로젝트에 부여받은 권한 부족으로 인해 GKE 사용 현황을 확인할 수 없습니다.</t>
  </si>
  <si>
    <t>GKE 자동 업데이트</t>
  </si>
  <si>
    <t>클러스터 별 설정된 출시 채널을 확인합니다.</t>
  </si>
  <si>
    <t>#확인불가
현재 {project_id} 프로젝트에 부여받은 권한 부족으로 인해 GKE 클러스터 별 출시 채널 현황을 확인할 수 없습니다.
#조치권고 
출시 채널이 등록되지 않은 GKE 클러스터가 존재합니다.
  [클러스터 이름] 
   - gke-cluster-prod-01
클러스터를 출시 채널에 등록하지 않으면, GKE가 자동으로 보안 패치 및 마이너 버전을 업그레이드하지 않습니다. 
이런 경우, 클러스터가 새로운 보안 위협에 노출될 수 있으며 수동 업그레이드 관리에 부담이 생길 수 있습니다.
Google이 관리하는 자동 업그레이드를 통해 클러스터를 항상 최신 상태로 안전하게 유지하시기를 권장드립니다.
#점검완료 
모든 GKE 클러스터에 출시 채널이 등록되어 있습니다.
  [클러스터 이름] 
   - gke-cluster-prod-01</t>
  </si>
  <si>
    <t>모든 GKE 클러스터에 출시 채널이 등록되어 있습니다.
  [클러스터 이름] 
   - gke-cluster-prod-01</t>
  </si>
  <si>
    <t xml:space="preserve">출시 채널이 등록되지 않은 GKE 클러스터가 존재합니다.
  [클러스터 이름] 
   - gke-cluster-prod-01
클러스터를 출시 채널에 등록하지 않으면, GKE가 자동으로 보안 패치 및 마이너 버전을 업그레이드하지 않습니다. 
이런 경우, 클러스터가 새로운 보안 위협에 노출될 수 있으며 수동 업그레이드 관리에 부담이 생길 수 있습니다.
Google이 관리하는 자동 업그레이드를 통해 클러스터를 항상 최신 상태로 안전하게 유지하시기를 권장드립니다.
</t>
  </si>
  <si>
    <t>현재 {project_id} 프로젝트에 부여받은 권한 부족으로 인해 GKE 클러스터 별 출시 채널 현황을 확인할 수 없습니다.</t>
  </si>
  <si>
    <t>유지보수 기간</t>
  </si>
  <si>
    <t>클러스터 별 설정된 유지보수 기간을 확인합니다.</t>
  </si>
  <si>
    <t>#확인불가 
현재 {project_id} 프로젝트에 부여받은 권한 부족으로 인해 GKE 클러스터 별 설정된 유지보수 기간을 확인할 수 없습니다.
#조치권고 
유지보수 기간을 지정하지 않은 GKE 클러스터가 존재합니다.
  [클러스터 이름] 
  - gke-cluster-prod-01 
유지보수 기간을 지정하지 않으면, Google이 서비스 이용량이 많은 피크 시간대(예: 낮 시간) 예고 없이 업그레이드 및 유지보수를 진행할 수 있습니다.
이로 인해 서비스가 일시적으로 중단되거나 지연될 수 있으므로 서비스 영향이 가장 적은 새벽 시간대(예: 03:00~05:00 KST) 로 
유지보수 기간을 지정하여 안정적인 서비스를 보장하시기를 권장드립니다.
#점검완료 
모든 GKE 클러스터에 유지보수 기간이 지정되어 있습니다.
  [클러스터 이름] / [유지보수 기간]  
  - gke-cluster-prod-01 / 매주 화~목요일 오후 05:00~09:00 (UTC)</t>
  </si>
  <si>
    <t>모든 GKE 클러스터에 유지보수 기간이 지정되어 있습니다.
  [클러스터 이름] / [유지보수 기간]  
  - gke-cluster-prod-01 / 매주 화~목요일 오후 05:00~09:00 (UTC)</t>
  </si>
  <si>
    <t>유지보수 기간을 지정하지 않은 GKE 클러스터가 존재합니다.
  [클러스터 이름] 
  - gke-cluster-prod-01 
유지보수 기간을 지정하지 않으면, Google이 서비스 이용량이 많은 피크 시간대(예: 낮 시간) 예고 없이 업그레이드 및 유지보수를 진행할 수 있습니다.
이로 인해 서비스가 일시적으로 중단되거나 지연될 수 있으므로 서비스 영향이 가장 적은 새벽 시간대(예: 03:00~05:00 KST) 로 
유지보수 기간을 지정하여 안정적인 서비스를 보장하시기를 권장드립니다.</t>
  </si>
  <si>
    <t>현재 {project_id} 프로젝트에 부여받은 권한 부족으로 인해 GKE 클러스터 별 설정된 유지보수 기간을 확인할 수 없습니다.</t>
  </si>
  <si>
    <t>로깅</t>
  </si>
  <si>
    <t>클러스터 로깅 범위를 확인합니다.</t>
  </si>
  <si>
    <t>#확인불가 
현재 {project_id} 프로젝트에 부여받은 권한 부족으로 인해 GKE 클러스터 별 설정된 로깅 범위를 확인할 수 없습니다.
#조치권고 
로깅이 설정되어 있지 않은 GKE 클러스터가 존재합니다.
  [클러스터 이름]
  - gke-cluster-prod-01
GKE 로깅을 설정하면 애플리케이션 상태를 이해하고 애플리케이션 가용성 및 안정성을 유지할 수 있습니다.
신속한 장애 대응과 안정적인 클러스터 운영을 위해, GKE 로깅을 설정하시기를 권장드립니다.
#점검완료 
모든 GKE 클러스터에 로깅이 설정되어 있습니다.
  [클러스터 이름] / [로깅]
  - gke-cluster-prod-01 / 시스템, 워크로드, API 서버, 스케줄러, 컨트롤러 관리자</t>
  </si>
  <si>
    <t>모든 GKE 클러스터에 로깅이 설정되어 있습니다.
  [클러스터 이름] / [로깅]
  - gke-cluster-prod-01 / 시스템, 워크로드, API 서버, 스케줄러, 컨트롤러 관리자</t>
  </si>
  <si>
    <t>로깅이 설정되어 있지 않은 GKE 클러스터가 존재합니다.
  [클러스터 이름]
  - gke-cluster-prod-01
GKE 로깅을 설정하면 애플리케이션 상태를 이해하고 애플리케이션 가용성 및 안정성을 유지할 수 있습니다.
신속한 장애 대응과 안정적인 클러스터 운영을 위해, GKE 로깅을 설정하시기를 권장드립니다.</t>
  </si>
  <si>
    <t>현재 {project_id} 프로젝트에 부여받은 권한 부족으로 인해 GKE 클러스터 별 설정된 로깅 범위를 확인할 수 없습니다.</t>
  </si>
  <si>
    <t>Cloud Monitoring</t>
  </si>
  <si>
    <t>클러스터 Cloud Monitoring 범위를 확인합니다.</t>
  </si>
  <si>
    <t>#확인불가 
현재 {project_id} 프로젝트에 부여받은 권한 부족으로 인해 GKE 클러스터 별 설정된 Cloud Monitoring 범위를 확인할 수 없습니다.
#조치권고 
Cloud Monitoring이 설정되어 있지 않은 GKE 클러스터가 존재합니다.
  [클러스터 이름] 
  - gke-cluster-prod-01 
GKE Cloud Monitoring을 설정하면 애플리케이션 상태를 이해하고 애플리케이션 가용성 및 안정성을 유지할 수 있습니다.
신속한 장애 대응과 안정적인 클러스터 운영을 위해, GKE Cloud Monitoring 을 설정하시기를 권장드립니다.
#점검완료 
모든 GKE 클러스터에 Cloud Monitoring이 설정되어 있습니다.
  [클러스터 이름] / [Cloud Monitoring]   
  - gke-cluster-prod-01 / 시스템</t>
  </si>
  <si>
    <t>모든 GKE 클러스터에 Cloud Monitoring이 설정되어 있습니다.
  [클러스터 이름] / [Cloud Monitoring]   
  - gke-cluster-prod-01 / 시스템</t>
  </si>
  <si>
    <t>Cloud Monitoring이 설정되어 있지 않은 GKE 클러스터가 존재합니다.
  [클러스터 이름] 
  - gke-cluster-prod-01 
GKE Cloud Monitoring을 설정하면 애플리케이션 상태를 이해하고 애플리케이션 가용성 및 안정성을 유지할 수 있습니다.
신속한 장애 대응과 안정적인 클러스터 운영을 위해, GKE Cloud Monitoring 을 설정하시기를 권장드립니다.</t>
  </si>
  <si>
    <t>현재 {project_id} 프로젝트에 부여받은 권한 부족으로 인해 GKE 클러스터 별 설정된 Cloud Monitoring 범위를 확인할 수 없습니다.</t>
  </si>
  <si>
    <t>Backup for GKE</t>
  </si>
  <si>
    <t>클러스터 백업 정책 설정 여부를 확인합니다.</t>
  </si>
  <si>
    <t>#확인불가 
현재 {project_id} 프로젝트에 부여받은 권한 부족으로 인해 GKE 클러스터 별 설정된 백업 설정을 확인할 수 없습니다.
#조치권고 
백업 계획이 없는 GKE 클러스터가 존재합니다.
  [클러스터 이름] 
   - gke-cluster-prod-01
Kubernetes Engine 전용 백업 서비스인 Backup for GKE 서비스는 Kubernetens 리소스 매니페스트와 클러스터 상태, 볼륨 백업을 지원합니다.
중요한 워크로드와 데이터를 보호하기 위해, Backup for GKE를 활성화 하고 정기적인 백업 계획을 수립 하시기를 권장 합니다.
#점검완료 
모든 GKE 클러스터에 Backup for GKE가 활성화되어 있으며, 백업 계획 현황은 아래와 같습니다.
  [클러스터 이름] / [백업 계획]   
  - gke-cluster-prod-01 / daily-backup-plan</t>
  </si>
  <si>
    <t>모든 GKE 클러스터에 Backup for GKE가 활성화되어 있으며, 백업 계획 현황은 아래와 같습니다.
  [클러스터 이름] / [백업 계획]   
  - gke-cluster-prod-01 / daily-backup-plan</t>
  </si>
  <si>
    <t>백업 계획이 없는 GKE 클러스터가 존재합니다.
  [클러스터 이름] 
   - gke-cluster-prod-01
Kubernetes Engine 전용 백업 서비스인 Backup for GKE 서비스는 Kubernetens 리소스 매니페스트와 클러스터 상태, 볼륨 백업을 지원합니다.
중요한 워크로드와 데이터를 보호하기 위해, Backup for GKE를 활성화 하고 정기적인 백업 계획을 수립 하시기를 권장 합니다.</t>
  </si>
  <si>
    <t>현재 {project_id} 프로젝트에 부여받은 권한 부족으로 인해 GKE 클러스터 별 설정된 백업 설정을 확인할 수 없습니다.</t>
  </si>
  <si>
    <t>클러스터 네트워킹 액세스</t>
  </si>
  <si>
    <t>노드에 대한 비공개 노드 설정 여부를 확인합니다.</t>
  </si>
  <si>
    <t>#확인불가
현재 {project_id} 프로젝트에 부여받은 권한 부족으로 인해 비공개 노드 설정 여부를 확인할 수 없습니다.
#조치권고 
비공개 노드 설정이 되어 있지 않은 GKE 클러스터가 존재합니다.
  [클러스터 이름]
   - gke-cluster-prod-01
비공개 노드 설정을 사용하면 외부 클라이언트가 노드에 액세스할 수 없고 인터넷에 직접 액세스할 수 있는 노드에서 액세스할 수 없습니다. 
필요에 따라 클러스터를 비공개로 구성하여 노드를 내부 네트워크에만 배치하고, 제어 영역 접근은 승인된 네트워크를 통해 제한하여 클러스터 보안을 강화하시는 방법을 권장드립니다.
#점검완료 
모든 GKE 클러스터에 비공개 노드가 설정되어 있습니다.
  [클러스터 이름]
   - gke-cluster-prod-01</t>
  </si>
  <si>
    <t>모든 GKE 클러스터에 비공개 노드가 설정되어 있습니다.
  [클러스터 이름]
   - gke-cluster-prod-01</t>
  </si>
  <si>
    <t>비공개 노드 설정이 되어 있지 않은 GKE 클러스터가 존재합니다.
  [클러스터 이름]
   - gke-cluster-prod-01
비공개 노드 설정을 사용하면 외부 클라이언트가 노드에 액세스할 수 없고 인터넷에 직접 액세스할 수 있는 노드에서 액세스할 수 없습니다. 
필요에 따라 클러스터를 비공개로 구성하여 노드를 내부 네트워크에만 배치하고, 제어 영역 접근은 승인된 네트워크를 통해 제한하여 클러스터 보안을 강화하시는 방법을 권장드립니다.</t>
  </si>
  <si>
    <t>현재 {project_id} 프로젝트에 부여받은 권한 부족으로 인해 비공개 노드 설정 여부를 확인할 수 없습니다.</t>
  </si>
  <si>
    <t>제어 영역 네트워킹 액세스</t>
  </si>
  <si>
    <t>제어 영역의 네트워킹 액세스 설정을 확인합니다.</t>
  </si>
  <si>
    <t>#확인불가 
현재 {project_id} 프로젝트에 부여받은 권한 부족으로 인해 GKE 클러스터 별 제어 영역의 클러스터 액세스 설정 현황을 확인할 수 없습니다.
#조치권고 
GKE 제어 영역의 네트워킹 액세스 제한 설정이 없는 GKE 클러스터가 존재합니다.
  [클러스터 이름]
  - gke-cluster-prod-01
GKE 제어 영역의 클러스터 액세스 제한을 설정하면 제어 영역의 네트워크 격리 및 액세스 제어가 가능합니다.
클러스터의 보안을 위해 GKE 제어 영역의 클러스터 액세스 제한 기능을 사용하여 신뢰할 수 있는 DNS 엔드포인트 혹은 특정 IP 대역(예: 사무실, CI/CD 시스템)만 접근할 수 있도록 제한하시길 권장드립니다.
#점검완료 
모든 GKE 클러스터의 제어 영역에 네트워킹 액세스 제한 설정이 적용되어 있습니다.
  [클러스터 이름] / [액세스 제한 유형] 
  - gke-cluster-prod-01 / IPv4 주소 기반 (승인된 네트워크)</t>
  </si>
  <si>
    <t>모든 GKE 클러스터의 제어 영역에 네트워킹 액세스 제한 설정이 적용되어 있습니다.
  [클러스터 이름] / [액세스 제한 유형] 
  - gke-cluster-prod-01 / IPv4 주소 기반 (승인된 네트워크)</t>
  </si>
  <si>
    <t>GKE 제어 영역의 네트워킹 액세스 제한 설정이 없는 GKE 클러스터가 존재합니다.
  [클러스터 이름]
  - gke-cluster-prod-01
GKE 제어 영역의 클러스터 액세스 제한을 설정하면 제어 영역의 네트워크 격리 및 액세스 제어가 가능합니다.
클러스터의 보안을 위해 GKE 제어 영역의 클러스터 액세스 제한 기능을 사용하여 신뢰할 수 있는 DNS 엔드포인트 혹은 특정 IP 대역(예: 사무실, CI/CD 시스템)만 접근할 수 있도록 제한하시길 권장드립니다.</t>
  </si>
  <si>
    <t xml:space="preserve">현재 {project_id} 프로젝트에 부여받은 권한 부족으로 인해 GKE 클러스터 별 제어 영역의 클러스터 액세스 설정 현황을 확인할 수 없습니다.
</t>
  </si>
  <si>
    <t>지원 버전 확인</t>
  </si>
  <si>
    <t>Kubernetes 버전 지원 여부를 확인합니다.</t>
  </si>
  <si>
    <t>#확인불가 
현재 {project_id} 프로젝트에 부여받은 권한 부족으로 인해 GKE 버전 현황을 확인할 수 없습니다.
#조치권고
현재 사용 중인 일부 Kubernetes 컨트롤 플레인 및 노드 풀의 버전이 지원 종료되었거나 곧 지원 종료될 예정입니다. 
보안 패치 및 최신 기능을 적용받기 위해 지원되는 버전으로 버전 업그레이드를 진행할 것을 권고드립니다.
 [클러스터 이름] / [구성요소 이름] / [현재 버전]
 - live-abcd / monitoring / 1.30.9-gke.1009000
#점검완료
버전 업그레이드가 필요한 Kubernetes 컨트롤 플레인 및 노드 풀이 없습니다.</t>
  </si>
  <si>
    <t>버전 업그레이드가 필요한 Kubernetes 컨트롤 플레인 및 노드 풀이 없습니다.</t>
  </si>
  <si>
    <t xml:space="preserve">현재 사용 중인 일부 Kubernetes 컨트롤 플레인 및 노드 풀의 버전이 지원 종료되었거나 곧 지원 종료될 예정입니다. 
보안 패치 및 최신 기능을 적용받기 위해 지원되는 버전으로 버전 업그레이드를 진행할 것을 권고드립니다.
 [클러스터 이름] / [구성요소 이름] / [현재 버전]
 - live-abcd / monitoring / 1.30.9-gke.1009000
</t>
  </si>
  <si>
    <t>현재 {project_id} 프로젝트에 부여받은 권한 부족으로 인해 GKE 버전 현황을 확인할 수 없습니다.</t>
  </si>
  <si>
    <t>Load Balancing</t>
  </si>
  <si>
    <t>부하 분산 사용 여부</t>
  </si>
  <si>
    <t>부하분산기 사용 여부 및 현황을 확인합니다.</t>
  </si>
  <si>
    <t>#확인불가 
현재 {project_id} 프로젝트에 부여받은 권한 부족으로 인해 부하분산기 현황을 확인할 수 없습니다.
#조치권고 
#점검완료 
부하 분산기를 사용하고 있으며, 현황은 아래와 같습니다.
  [부하분산기 이름] / [유형] / [액세스 유형] / [프로토콜]
   - prod-http-lb / 네트워크 (패스스루) / 내부 / TCP</t>
  </si>
  <si>
    <t>부하 분산기를 사용하고 있으며, 현황은 아래와 같습니다.
  [부하분산기 이름] / [유형] / [액세스 유형] / [프로토콜]
   - prod-http-lb / 네트워크 (패스스루) / 내부 / TCP</t>
  </si>
  <si>
    <t>현재 {project_id} 프로젝트에 부여받은 권한 부족으로 인해 부하분산기 현황을 확인할 수 없습니다.</t>
  </si>
  <si>
    <t>HTTPS 프론트엔드 SSL 인증서 구성 여부</t>
  </si>
  <si>
    <t>프로토콜이 HTTPS인 프론트엔드에 SSL 인증서가 구성되어있는지 확인합니다.</t>
  </si>
  <si>
    <t>#확인불가 
현재 {project_id} 프로젝트에 부여받은 권한 부족으로 인해 부하분산기의 SSL 인증서 구성 여부를 확인할 수 없습니다.
#조치권고 
SSL 인증서가 구성되어 있지 않은 HTTPS 부하 분산기가 존재합니다.
  [부하 분산기 이름]
  - prod-http-lb
프로토콜이 HTTPS인 프론트엔드의 SSL 인증서가 구성되어 있지 않을 경우, 데이터가 암호화되지 않은 채 전송되어 데이터 유출의 위험이 있을 수 있습니다. 
필요 여부를 검토하시어 서비스의 신뢰성 및 데이터 보호를 위해 SSL 인증서를 구성하여 사용하실 것을 권장드립니다.
#점검완료 
모든 HTTPS 부하 분산기에 SSL 인증서가 구성되어 있습니다.
  [부하 분산기 이름] / [인증서] 
  - prod-http-lb / mega-com-20250101</t>
  </si>
  <si>
    <t>모든 HTTPS 부하 분산기에 SSL 인증서가 구성되어 있습니다.
  [부하 분산기 이름] / [인증서] 
  - prod-http-lb / mega-com-20250101</t>
  </si>
  <si>
    <t>SSL 인증서가 구성되어 있지 않은 HTTPS 부하 분산기가 존재합니다.
  [부하 분산기 이름]
  - prod-http-lb
프로토콜이 HTTPS인 프론트엔드의 SSL 인증서가 구성되어 있지 않을 경우, 데이터가 암호화되지 않은 채 전송되어 데이터 유출의 위험이 있을 수 있습니다. 
필요 여부를 검토하시어 서비스의 신뢰성 및 데이터 보호를 위해 SSL 인증서를 구성하여 사용하실 것을 권장드립니다.</t>
  </si>
  <si>
    <t>현재 {project_id} 프로젝트에 부여받은 권한 부족으로 인해 부하분산기의 SSL 인증서 구성 여부를 확인할 수 없습니다.</t>
  </si>
  <si>
    <t>백엔드 서비스</t>
  </si>
  <si>
    <t>비정상 상태인 백엔드가 있는지 확인합니다.</t>
  </si>
  <si>
    <t xml:space="preserve">#확인불가
현재 {project_id} 프로젝트에 부여받은 권한 부족으로 인해 부하분산기의 백엔드 현황을 확인할 수 없습니다.
#조치권고
백엔드가 비정상 상태인 부하 분산기가 존재합니다.
    [부하 분산기] / [유형]
  - web-backend-service / 애플리케이션(기본)
백엔드가 비정상 상태이면 부하 분산기가 해당 백엔드로 트래픽을 보내지 않습니다. 
이로 인해 정상 운영 중인 다른 백엔드에 부하가 가중되어 서비스 전체의 응답 속도가 느려지거나, 심한 경우 서비스 장애로 이어질 수 있습니다.
비정상 상태인 인스턴스의 애플리케이션 로그를 확인하고, 헬스체크에 설정된 포트 및 경로가 정상적으로 응답하는지, 방화벽 규칙이 헬스체크 프로브를 차단하지 않는지 점검 하시기를 권장드립니다.
#점검완료
모든 부하 분산기의 백엔드가 정상 상태입니다.
    [부하 분산기] / [유형] 
  - web-backend-service / 애플리케이션(기본) </t>
  </si>
  <si>
    <t xml:space="preserve">모든 부하 분산기의 백엔드가 정상 상태입니다.
    [부하 분산기] / [유형] 
  - web-backend-service / 애플리케이션(기본) </t>
  </si>
  <si>
    <t>백엔드가 비정상 상태인 부하 분산기가 존재합니다.
    [부하 분산기] / [유형]
  - web-backend-service / 애플리케이션(기본)
백엔드가 비정상 상태이면 부하 분산기가 해당 백엔드로 트래픽을 보내지 않습니다. 
이로 인해 정상 운영 중인 다른 백엔드에 부하가 가중되어 서비스 전체의 응답 속도가 느려지거나, 심한 경우 서비스 장애로 이어질 수 있습니다.
비정상 상태인 인스턴스의 애플리케이션 로그를 확인하고, 헬스체크에 설정된 포트 및 경로가 정상적으로 응답하는지, 방화벽 규칙이 헬스체크 프로브를 차단하지 않는지 점검 하시기를 권장드립니다.</t>
  </si>
  <si>
    <t>현재 {project_id} 프로젝트에 부여받은 권한 부족으로 인해 부하분산기의 백엔드 현황을 확인할 수 없습니다.</t>
  </si>
  <si>
    <t>백엔드 서비스 로깅</t>
  </si>
  <si>
    <t>부하분산기와 매핑되는 백엔드 서비스에 로깅이 적용되어 있는지 확인합니다.</t>
  </si>
  <si>
    <t xml:space="preserve">#확인불가
현재 {project_id} 프로젝트에 부여받은 권한 부족으로 인해 부하분산기의 백엔드 현황을 확인할 수 없습니다.
#조치권고
로깅이 사용 설정되어 있지 않은 백엔드 서비스가 존재합니다.
  [백엔드 서비스]
  - web-backend2-service 
백엔드 서비스 기반의 부하 분산기는 로그를 사용 설정, 사용 중지, 조회할 수 있습니다. 
로그를 사용 설점함으로서 장애 발생 시 문제의 근본 원인을 진단하고 해결하여 서비스 안정성을 극대화할 수 있습니다.
안정적이고 효율적인 서비스 운영을 위해 백엔드 서비스에 로깅 적용을 권장드립니다.
#점검완료
모든 백엔드 서비스에 로깅이 사용 설정되어 있습니다.
  [백엔드 서비스]
  - web-backend2-service </t>
  </si>
  <si>
    <t xml:space="preserve">모든 백엔드 서비스에 로깅이 사용 설정되어 있습니다.
  [백엔드 서비스]
  - web-backend2-service </t>
  </si>
  <si>
    <t>로깅이 사용 설정되어 있지 않은 백엔드 서비스가 존재합니다.
  [백엔드 서비스]
  - web-backend2-service 
백엔드 서비스 기반의 부하 분산기는 로그를 사용 설정, 사용 중지, 조회할 수 있습니다. 
로그를 사용 설점함으로서 장애 발생 시 문제의 근본 원인을 진단하고 해결하여 서비스 안정성을 극대화할 수 있습니다.
안정적이고 효율적인 서비스 운영을 위해 백엔드 서비스에 로깅 적용을 권장드립니다.</t>
  </si>
  <si>
    <t>Logging</t>
  </si>
  <si>
    <t>로그 버킷 보관 기간</t>
  </si>
  <si>
    <t>로그 버킷(로그 스토리지)의 보관 기간 설정을 확인합니다.</t>
  </si>
  <si>
    <t>#확인불가 
현재 {project_id} 프로젝트에 부여받은 권한 부족으로 인해 로그 버킷(로그 스토리지) 설정을 확인할 수 없습니다.
#조치권고
#점검완료 
현재 구성된 로그 버킷과 보관 기간 현황은 아래와 같습니다.
  [로그 버킷 이름] / [보관 기간]  
  - _Default / 30일
  - _Required / 400일 
불필요한 로그를 장기간 보관하면 스토리지 비용이 낭비될 수 있습니다.
기본 보관 기간(30일) 동안 보관되는 로그에는 스토리지 비용이 부과되지 않으나, 30일 이상 보관된 로그의 경우에 $0.01/GiB, 유지율에 따라 매월 청구됩니다.
로그의 중요도와 감사 요건을 검토하여 로그 버킷별로 최적의 보관 기간을 설정하시기를 권장드립니다.
* 단, _Required 로그 버킷의 보관 기간은 고정이며 변경할 수 없습니다.</t>
  </si>
  <si>
    <t>현재 구성된 로그 버킷과 보관 기간 현황은 아래와 같습니다.
  [로그 버킷 이름] / [보관 기간]  
  - _Default / 30일
  - _Required / 400일 
불필요한 로그를 장기간 보관하면 스토리지 비용이 낭비될 수 있습니다.
기본 보관 기간(30일) 동안 보관되는 로그에는 스토리지 비용이 부과되지 않으나, 30일 이상 보관된 로그의 경우에 $0.01/GiB, 유지율에 따라 매월 청구됩니다.
로그의 중요도와 감사 요건을 검토하여 로그 버킷별로 최적의 보관 기간을 설정하시기를 권장드립니다.
* 단, _Required 로그 버킷의 보관 기간은 고정이며 변경할 수 없습니다.</t>
  </si>
  <si>
    <t>현재 {project_id} 프로젝트에 부여받은 권한 부족으로 인해 로그 버킷(로그 스토리지) 설정을 확인할 수 없습니다.</t>
  </si>
  <si>
    <t>Service Accounts</t>
  </si>
  <si>
    <t>서비스 계정 키</t>
  </si>
  <si>
    <t>생성 후 90일이 경과한 서비스 계정 키를 확인합니다.</t>
  </si>
  <si>
    <t>#확인불가
현재 {project_id} 프로젝트에 부여받은 권한 부족으로 인해 서비스 계정 현황을 확인할 수 없습니다.
#조치권고
생성 후 90일이 경과한 서비스 계정 키가 존재합니다.
  [서비스 계정] / [키 생성일]
  - my-app-sa@{project_id}.iam.gserviceaccount.com / 2024.01.01
서비스 계정 키는 서비스 계정으로 인증할 수 있는 비공개 키로, 유출될 경우 심각한 보안 사고로 이어질 수 있습니다.
서비스 계정 키를 포함하여 관리하는 모든 키를 정기적으로 순환하는 것이 좋습니다.
#점검완료
생성 후 90일이 경과한 서비스 계정 키가 없습니다.
  [서비스 계정] / [키 생성일]
  - my-app-sa@{project_id}.iam.gserviceaccount.com / 2026.01.01</t>
  </si>
  <si>
    <t>생성 후 90일이 경과한 서비스 계정 키가 없습니다.
  [서비스 계정] / [키 생성일]
  - my-app-sa@{project_id}.iam.gserviceaccount.com / 2026.01.01</t>
  </si>
  <si>
    <t>생성 후 90일이 경과한 서비스 계정 키가 존재합니다.
  [서비스 계정] / [키 생성일]
  - my-app-sa@{project_id}.iam.gserviceaccount.com / 2024.01.01
서비스 계정 키는 서비스 계정으로 인증할 수 있는 비공개 키로, 유출될 경우 심각한 보안 사고로 이어질 수 있습니다.
서비스 계정 키를 포함하여 관리하는 모든 키를 정기적으로 순환하는 것이 좋습니다.</t>
  </si>
  <si>
    <t>현재 {project_id} 프로젝트에 부여받은 권한 부족으로 인해 서비스 계정 현황을 확인할 수 없습니다.</t>
  </si>
  <si>
    <t>Snapshots</t>
  </si>
  <si>
    <t>스냅샷 사용 여부</t>
  </si>
  <si>
    <t>스냅샷 사용 여부와 현황을 확인합니다.</t>
  </si>
  <si>
    <t>#확인불가
현재 {project_id} 프로젝트에 부여받은 권한 부족으로 인해 스냅샷 현황을 확인할 수 없습니다.
#조치권고
생성된 스냅샷이 없습니다.
스냅샷은 디스크 장애, 사용자 실수, 랜섬웨어 공격 등 예기치 않은 상황에서 데이터를 복구할 수 있는 유일한 수단입니다. 
스냅샷이 없으면 데이터 유실 시 복구가 불가능하여 심각한 서비스 중단을 초래할 수 있습니다.
중요 데이터가 저장된 디스크에 대해서는 스냅샷 스케줄을 설정하여 데이터를 안전하게 보호 하시기를 권장 합니다.
#점검완료
스냅샷을 사용하고 있으며, 현황은 아래와 같습니다.
  [스냅샷] / [위치] / [소스 디스크]
  - abcd-snapshot / asia-northeast3 / abcd-disk</t>
  </si>
  <si>
    <t>스냅샷을 사용하고 있으며, 현황은 아래와 같습니다.
  [스냅샷] / [위치] / [소스 디스크]
  - abcd-snapshot / asia-northeast3 / abcd-disk</t>
  </si>
  <si>
    <t>생성된 스냅샷이 없습니다.
스냅샷은 디스크 장애, 사용자 실수, 랜섬웨어 공격 등 예기치 않은 상황에서 데이터를 복구할 수 있는 유일한 수단입니다. 
스냅샷이 없으면 데이터 유실 시 복구가 불가능하여 심각한 서비스 중단을 초래할 수 있습니다.
중요 데이터가 저장된 디스크에 대해서는 스냅샷 스케줄을 설정하여 데이터를 안전하게 보호 하시기를 권장 합니다.</t>
  </si>
  <si>
    <t>현재 {project_id} 프로젝트에 부여받은 권한 부족으로 인해 스냅샷 현황을 확인할 수 없습니다.</t>
  </si>
  <si>
    <t>스냅샷 일정</t>
  </si>
  <si>
    <t>스냅샷 일정이 등록되어 있는지 확인합니다.</t>
  </si>
  <si>
    <t>#확인불가
현재 {project_id} 프로젝트에 부여받은 권한 부족으로 인해 스냅샷 일정 현황을 확인할 수 없습니다.
#조치권고
스냅샷 일정이 없습니다.
Compute Engine 인스턴스 및 Kubetnetes Engine에서 사용 중인 영구 디스크 중, 주요 서비스와 관련된 Disk에 대하여는 스냅샷 일정을 설정하여 주기적으로 백업하시는 것을 권장드립니다.
#점검완료
스냅샷 일정이 존재합니다.
  [스냅샷 일정 이름] / [일정 빈도(UTC)] / [다음에서 사용 중]
  gce-seoul-snapshot / 매일 오후 2:00 ~ 오후 3:00에 시작 / abc-vm, efgh-vm</t>
  </si>
  <si>
    <t>스냅샷 일정이 존재합니다.
  [스냅샷 일정 이름] / [일정 빈도(UTC)] / [다음에서 사용 중]
  gce-seoul-snapshot / 매일 오후 2:00 ~ 오후 3:00에 시작 / abc-vm, efgh-vm</t>
  </si>
  <si>
    <t>스냅샷 일정이 없습니다.
Compute Engine 인스턴스 및 Kubetnetes Engine에서 사용 중인 영구 디스크 중, 주요 서비스와 관련된 Disk에 대하여는 스냅샷 일정을 설정하여 주기적으로 백업하시는 것을 권장드립니다.</t>
  </si>
  <si>
    <t>현재 {project_id} 프로젝트에 부여받은 권한 부족으로 인해 스냅샷 일정 현황을 확인할 수 없습니다.</t>
  </si>
  <si>
    <t>VM Instances</t>
  </si>
  <si>
    <t>외부 IP 연결 상태</t>
  </si>
  <si>
    <t>VM 인스턴스에 할당(연결)되어있는 외부 IP를 확인합니다.</t>
  </si>
  <si>
    <t>#확인불가
현재 {project_id} 프로젝트에 부여받은 권한 부족으로 인해 VM 인스턴스에 할당되어 있는 외부 IP 현황을 확인할 수 없습니다.
#조치권고
모든 VM 인스턴스에 외부 IP가 할당되어 있습니다. 
  [인스턴스 이름] / [IP 주소] 
  - vm-abcd-apm / 34.x.x.x
  - vm-abcd-logstash / 34.x.x.x
VM 인스턴스에 공인 IP를 할당하면 인터넷에 직접 노출되어 공격 표면이 넓어집니다. 
보안 강화를 위해 외부 접속이 필요 없는 인스턴스의 경우 외부 IP를 제거하시는 것을 권장드립니다.
#점검완료
외부 IP가 할당되어 있는 VM 인스턴스가 없습니다. </t>
  </si>
  <si>
    <t>외부 IP가 할당되어 있는 VM 인스턴스가 없습니다. </t>
  </si>
  <si>
    <t>모든 VM 인스턴스에 외부 IP가 할당되어 있습니다. 
  [인스턴스 이름] / [IP 주소] 
  - vm-abcd-apm / 34.x.x.x
  - vm-abcd-logstash / 34.x.x.x
VM 인스턴스에 공인 IP를 할당하면 인터넷에 직접 노출되어 공격 표면이 넓어집니다. 
보안 강화를 위해 외부 접속이 필요 없는 인스턴스의 경우 외부 IP를 제거하시는 것을 권장드립니다.</t>
  </si>
  <si>
    <t>현재 {project_id} 프로젝트에 부여받은 권한 부족으로 인해 VM 인스턴스에 할당되어 있는 외부 IP 현황을 확인할 수 없습니다.</t>
  </si>
  <si>
    <t>직렬 포트 연결</t>
  </si>
  <si>
    <t>VM 인스턴스에 직렬 포트 연결 사용 설정이 활성화되어 있는지 확인합니다.</t>
  </si>
  <si>
    <t xml:space="preserve">#확인불가 
현재 {project_id} 프로젝트에 부여받은 권한 부족으로 인해 VM 인스턴스의 직렬 포트 연결 활성화 여부를 확인할 수 없습니다.
#조치권고 
직렬 포트 연결이 활성화되어 있는 VM 인스턴스가 있습니다.
 [인스턴스 이름]
  - vm-abcd-apm 
  - vm-abcd-logstash 
인스턴스에서 대화형 직렬 콘솔을 사용 설정하면 클라이언트가 모든 IP 주소에서 해당 인스턴스에 대한 연결을 시도할 수 있습니다.
올바른 SSH 키, 사용자 이름, 프로젝트 ID, 영역, 인스턴스 이름을 알기만 하면 누구나 해당 인스턴스에 연결할 수 있으므로 직렬 포트 연결은 비활성화 상태를 유지하다가 필요한 경우에만 일시적으로 활성화해서 사용을 권장드립니다.
#점검완료 
모든 VM 인스턴스에 직렬 포트 연결이 비활성화되어 있습니다.
 [인스턴스 이름]
  - vm-abcd-apm </t>
  </si>
  <si>
    <t xml:space="preserve">모든 VM 인스턴스에 직렬 포트 연결이 비활성화되어 있습니다.
 [인스턴스 이름]
  - vm-abcd-apm </t>
  </si>
  <si>
    <t>직렬 포트 연결이 활성화되어 있는 VM 인스턴스가 있습니다.
 [인스턴스 이름]
  - vm-abcd-apm 
  - vm-abcd-logstash 
인스턴스에서 대화형 직렬 콘솔을 사용 설정하면 클라이언트가 모든 IP 주소에서 해당 인스턴스에 대한 연결을 시도할 수 있습니다.
올바른 SSH 키, 사용자 이름, 프로젝트 ID, 영역, 인스턴스 이름을 알기만 하면 누구나 해당 인스턴스에 연결할 수 있으므로 직렬 포트 연결은 비활성화 상태를 유지하다가 필요한 경우에만 일시적으로 활성화해서 사용을 권장드립니다.</t>
  </si>
  <si>
    <t>현재 {project_id} 프로젝트에 부여받은 권한 부족으로 인해 VM 인스턴스의 직렬 포트 연결 활성화 여부를 확인할 수 없습니다.</t>
  </si>
  <si>
    <t>삭제 보호</t>
  </si>
  <si>
    <t>삭제 보호 설정이 활성화되어 있는지 확인합니다.</t>
  </si>
  <si>
    <t>#확인불가
현재 {project_id} 프로젝트에 부여받은 권한 부족으로 인해 VM 인스턴스의 삭제 보호 활성화 여부를 확인할 수 없습니다. 
#조치권고
삭제 보호 설정이 사용 중지 상태인 VM 인스턴스가 존재합니다.
  [VM 인스턴스 이름] 
  - my-db-primary-vm 
VM 인스턴스 삭제 보호 설정은 사용자 실수로 인한 인스턴스 삭제를 예방하는 기능입니다. 
인적 오류로 인한 예기치 않은 서비스 중단을 미연에 방지하기 위하여 삭제 보호 활성화를 권장드립니다.
#점검완료
모든 VM 인스턴스에 삭제 보호 설정이 사용 설정되어 있습니다.
  [VM 인스턴스 이름]
  - my-app-prod-vm-1</t>
  </si>
  <si>
    <t>모든 VM 인스턴스에 삭제 보호 설정이 사용 설정되어 있습니다.
  [VM 인스턴스 이름]
  - my-app-prod-vm-1</t>
  </si>
  <si>
    <t>삭제 보호 설정이 사용 중지 상태인 VM 인스턴스가 존재합니다.
  [VM 인스턴스 이름] 
  - my-db-primary-vm 
VM 인스턴스 삭제 보호 설정은 사용자 실수로 인한 인스턴스 삭제를 예방하는 기능입니다. 
인적 오류로 인한 예기치 않은 서비스 중단을 미연에 방지하기 위하여 삭제 보호 활성화를 권장드립니다.</t>
  </si>
  <si>
    <t xml:space="preserve">현재 {project_id} 프로젝트에 부여받은 권한 부족으로 인해 VM 인스턴스의 삭제 보호 활성화 여부를 확인할 수 없습니다. </t>
  </si>
  <si>
    <t>Google Ops Agent</t>
  </si>
  <si>
    <t>모든 VM에 Google Ops Agent 가 활성화되어 있는지 확인합니다.</t>
  </si>
  <si>
    <t>#확인불가
현재 {project_id} 프로젝트에 부여받은 권한 부족으로 인해 VM 인스턴스의 Google Ops Agent 설치 여부를 확인할 수 없습니다. 
#조치권고
일부 VM에서 Google Ops Agent가 설치되지 않았거나 확인되지 않습니다. 
Google Ops Agent를 설치하면 로그 및 VM OS 지표 수집을 통합하여 문제 해결과 운영 효율성을 크게 향상시킬 수 있으므로 Google Ops Agent를 권장드립니다.
  [VM 인스턴스 이름] 
  - my-primary-vm 
#점검완료
모든 VM에 Google Ops Agent가 정상적으로 설치되어 있습니다.</t>
  </si>
  <si>
    <t>모든 VM에 Google Ops Agent가 정상적으로 설치되어 있습니다.</t>
  </si>
  <si>
    <t xml:space="preserve">일부 VM에서 Google Ops Agent가 설치되지 않았거나 확인되지 않습니다. 
Google Ops Agent를 설치하면 로그 및 VM OS 지표 수집을 통합하여 문제 해결과 운영 효율성을 크게 향상시킬 수 있으므로 Google Ops Agent를 권장드립니다.
  [VM 인스턴스 이름] 
  - my-primary-vm 
</t>
  </si>
  <si>
    <t xml:space="preserve">현재 {project_id} 프로젝트에 부여받은 권한 부족으로 인해 VM 인스턴스의 Google Ops Agent 설치 여부를 확인할 수 없습니다. </t>
  </si>
  <si>
    <t>VPC Networks</t>
  </si>
  <si>
    <t>VPC 환경 분리</t>
  </si>
  <si>
    <t>서비스 목적(개발, 테스트, 상용 등)에 맞게 VPC를 분리해서 사용하고 있는지 확인합니다.</t>
  </si>
  <si>
    <t>#확인불가 
현재 {project_id} 프로젝트에 부여받은 권한 부족으로 인해 VPC 현황에 대해 확인할 수 없습니다.
#조치권고 
#점검완료 
VPC 현황은 아래와 같습니다.
  [VPC 이름]
  - default
  - vpc-abcd
여러 서비스(라이브, 스테이징, 개발 등)들이 하나의 VPC 환경 내에서 운영되는 경우에 사용자 실수 등으로 인한 이슈 또는 장애가 발생할 수 있습니다. 
네트워크 격리를 통해 보안을 강화하고 관리 효율성을 높이기 위해, 개발, 스테이징, 프로덕션 등 각 환경에 대한 VPC를 별도로 생성하여 분리 운영하시기를 권장드립니다.</t>
  </si>
  <si>
    <t>VPC 현황은 아래와 같습니다.
  [VPC 이름]
  - default
  - vpc-abcd
여러 서비스(라이브, 스테이징, 개발 등)들이 하나의 VPC 환경 내에서 운영되는 경우에 사용자 실수 등으로 인한 이슈 또는 장애가 발생할 수 있습니다. 
네트워크 격리를 통해 보안을 강화하고 관리 효율성을 높이기 위해, 개발, 스테이징, 프로덕션 등 각 환경에 대한 VPC를 별도로 생성하여 분리 운영하시기를 권장드립니다.</t>
  </si>
  <si>
    <t>현재 {project_id} 프로젝트에 부여받은 권한 부족으로 인해 VPC 현황에 대해 확인할 수 없습니다.</t>
  </si>
  <si>
    <t>기본 서브넷</t>
  </si>
  <si>
    <t>기본 서브넷(자동 모드 VPC 네트워크)을 사용하고 있는지 확인합니다.</t>
  </si>
  <si>
    <t>#확인불가
현재 {project_id} 프로젝트에 부여받은 권한 부족으로 인해 VPC 별 서브넷 현황을 확인할 수 없습니다.
#조치권고
기본 서브넷(자동 모드 VPC 네트워크) 네트워크를 사용 중입니다.
  [서브넷 이름]
  - default
자동 모드 VPC 네트워크는 항상 동일한 네트워크 주소(사전 정의된 IP 범위)를 갖기 때문에 자동 모드 VPC 네트워크 간 VPC 네트워크 피어링이나 Cloud VPN 등으로 상호 연결할 수 없습니다.
커스텀 모드 VPC 네트워크는 더 유연하고 프로덕션에 더 적합하므로 방화벽 규칙과 IP 대역을 직접 설계한 커스텀(Custom) VPC를 생성하여 사용하는 것을 권장드립니다.
#점검완료
커스텀 모드 VPC 네트워크를 사용하고 있습니다.
  [서브넷 이름]
  - sub-abcd-ap</t>
  </si>
  <si>
    <t>커스텀 모드 VPC 네트워크를 사용하고 있습니다.
  [서브넷 이름]
  - sub-abcd-ap</t>
  </si>
  <si>
    <t xml:space="preserve">기본 서브넷(자동 모드 VPC 네트워크) 네트워크를 사용 중입니다.
  [서브넷 이름]
  - default
자동 모드 VPC 네트워크는 항상 동일한 네트워크 주소(사전 정의된 IP 범위)를 갖기 때문에 자동 모드 VPC 네트워크 간 VPC 네트워크 피어링이나 Cloud VPN 등으로 상호 연결할 수 없습니다.
커스텀 모드 VPC 네트워크는 더 유연하고 프로덕션에 더 적합하므로 방화벽 규칙과 IP 대역을 직접 설계한 커스텀(Custom) VPC를 생성하여 사용하는 것을 권장드립니다.
</t>
  </si>
  <si>
    <t>현재 {project_id} 프로젝트에 부여받은 권한 부족으로 인해 VPC 별 서브넷 현황을 확인할 수 없습니다.</t>
  </si>
  <si>
    <t>VPC Network Peering</t>
  </si>
  <si>
    <t>VPC 네트워크 피어링 서비스 사용 여부 및 현황을 확인합니다.</t>
  </si>
  <si>
    <t xml:space="preserve">#확인불가
현재 {project_id} 프로젝트에 부여받은 권한 부족으로 인해 VPC 네트워크 피어링 사용 현황을 확인할 수 없습니다.
#조치권고
#점검완료
VPC 네트워크 피어링 서비스를 사용하고 있으며, 현황은 아래와 같습니다.
  [VPC Peering 이름] 
  - servicenetworking-googleapis-com </t>
  </si>
  <si>
    <t xml:space="preserve">VPC 네트워크 피어링 서비스를 사용하고 있으며, 현황은 아래와 같습니다.
  [VPC Peering 이름] 
  - servicenetworking-googleapis-com </t>
  </si>
  <si>
    <t>현재 {project_id} 프로젝트에 부여받은 권한 부족으로 인해 VPC 네트워크 피어링 사용 현황을 확인할 수 없습니다.</t>
  </si>
  <si>
    <t>네트워크 경로(라우팅)</t>
  </si>
  <si>
    <t>Any(0.0.0.0) 로 라우팅 중인 경로가 있는지 확인합니다.</t>
  </si>
  <si>
    <t>#확인불가
현재 {project_id} 프로젝트에 부여받은 권한 부족으로 인해 Any (0.0.0.0) 으로 라우팅 중인 경로가 있는지 확인할 수 없습니다.
#조치권고 
대상 IP 범위가 ANY(0.0.0.0) 로 설정된 경로가 존재합니다.
  [경로 이름] / [네트워크]
  - default-route-abcd / default
Google Cloud는 보다 구체적인 대상이 있는 경로가 패킷에 적용되지 않는 경우에만 ANY(0.0.0.0/0) 경로를 사용합니다. 
네트워크를 인터넷에서 완전히 분리하려면 0.0.0.0/0 경로를 삭제해야하며, 커스텀 경로를 등록하는 경우에는 구체적인 경로를 지정하는 것을 권장드립니다.
#점검완료 
대상 IP 범위가 ANY(0.0.0.0) 로 설정된 경로는 없습니다.</t>
  </si>
  <si>
    <t>대상 IP 범위가 ANY(0.0.0.0) 로 설정된 경로는 없습니다.</t>
  </si>
  <si>
    <t>대상 IP 범위가 ANY(0.0.0.0) 로 설정된 경로가 존재합니다.
  [경로 이름] / [네트워크]
  - default-route-abcd / default
Google Cloud는 보다 구체적인 대상이 있는 경로가 패킷에 적용되지 않는 경우에만 ANY(0.0.0.0/0) 경로를 사용합니다. 
네트워크를 인터넷에서 완전히 분리하려면 0.0.0.0/0 경로를 삭제해야하며, 커스텀 경로를 등록하는 경우에는 구체적인 경로를 지정하는 것을 권장드립니다.</t>
  </si>
  <si>
    <t>현재 {project_id} 프로젝트에 부여받은 권한 부족으로 인해 Any (0.0.0.0) 으로 라우팅 중인 경로가 있는지 확인할 수 없습니다.</t>
  </si>
  <si>
    <t>비공개 Google 액세스</t>
  </si>
  <si>
    <t>비공개 Google 액세스 설정이 활성화되어 있는 서브넷이 있는지 확인합니다.</t>
  </si>
  <si>
    <t xml:space="preserve">#확인불가 
현재 {project_id} 프로젝트에 부여받은 권한 부족으로 인해 비공개 Google 액세스 설정이 활성화되어 있는 서브넷이 있는지 확인할 수 없습니다.
#조치권고 
#점검완료 
비공개 Google 액세스가 활성화된 서브넷이 있습니다.
  [서브넷 이름]
  - sub-abcd-ap
비공개 Google 액세스를 사용하면 외부 IP 주소 없이 내부 IP 주소만 있는 VM 인스턴스가 Google의 프로덕션 인프라에 호스팅된 Google API 및 서비스에 액세스할 수 있습니다.
불필요한 공용 인터넷 트래픽을 최소화하기 위해 비공개 Google 액세스 사용을 권장드립니다.
</t>
  </si>
  <si>
    <t xml:space="preserve">비공개 Google 액세스가 활성화된 서브넷이 있습니다.
  [서브넷 이름]
  - sub-abcd-ap
비공개 Google 액세스를 사용하면 외부 IP 주소 없이 내부 IP 주소만 있는 VM 인스턴스가 Google의 프로덕션 인프라에 호스팅된 Google API 및 서비스에 액세스할 수 있습니다.
불필요한 공용 인터넷 트래픽을 최소화하기 위해 비공개 Google 액세스 사용을 권장드립니다.
</t>
  </si>
  <si>
    <t>현재 {project_id} 프로젝트에 부여받은 권한 부족으로 인해 비공개 Google 액세스 설정이 활성화되어 있는 서브넷이 있는지 확인할 수 없습니다.</t>
  </si>
  <si>
    <t>Security Command Center</t>
  </si>
  <si>
    <t>Security Command Center 사용 여부</t>
  </si>
  <si>
    <t>Security Command Center를 사용하고 있는지 확인합니다.</t>
  </si>
  <si>
    <t>#확인불가 
현재 {project_id} 프로젝트에 부여받은 권한 부족으로 인해 Security Command Center 사용 여부를 확인할 수 없습니다.
#조치권고 
#점검완료 
Security Command Center를 사용하고 있습니다.</t>
  </si>
  <si>
    <t>Security Command Center를 사용하고 있습니다.</t>
  </si>
  <si>
    <t>현재 {project_id} 프로젝트에 부여받은 권한 부족으로 인해 Security Command Center 사용 여부를 확인할 수 없습니다.</t>
  </si>
  <si>
    <t>Network Intelligence Center</t>
  </si>
  <si>
    <t>Network Intelligence Center 사용 여부</t>
  </si>
  <si>
    <t>Network Intelligence Center를 사용하고 있는지 확인합니다.</t>
  </si>
  <si>
    <t>#확인불가 
현재 {project_id} 프로젝트에 부여받은 권한 부족으로 인해 Network Intelligence Center 사용 여부를 확인할 수 없습니다.
#조치권고 
#점검완료 
Network Intelligence Center를 사용하고 있습니다.</t>
  </si>
  <si>
    <t>Network Intelligence Center를 사용하고 있습니다.</t>
  </si>
  <si>
    <t>현재 {project_id} 프로젝트에 부여받은 권한 부족으로 인해 Network Intelligence Center 사용 여부를 확인할 수 없습니다.</t>
  </si>
  <si>
    <t>신규 고객사 GCP 인프라 보안점검 결과</t>
  </si>
  <si>
    <t>Information</t>
  </si>
  <si>
    <t>담당 부서</t>
  </si>
  <si>
    <t>MCM / Managed 3</t>
  </si>
  <si>
    <t>작성 일자</t>
  </si>
  <si>
    <t>MSP 시작 일자</t>
  </si>
  <si>
    <t>점검자</t>
  </si>
  <si>
    <t>김메가</t>
  </si>
  <si>
    <t>Support Level</t>
  </si>
  <si>
    <t xml:space="preserve"> 　</t>
  </si>
  <si>
    <t>Action Recommended</t>
  </si>
  <si>
    <t>Inspection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</si>
</sst>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m\-dd"/>
    <numFmt numFmtId="177" formatCode="0_);[Red]\(0\)"/>
    <numFmt numFmtId="178" formatCode="yyyy&quot;-&quot;mm&quot;-&quot;dd"/>
    <numFmt numFmtId="179" formatCode="&quot;[ &quot;General&quot; ]&quot;"/>
  </numFmts>
  <fonts count="36">
    <font>
      <sz val="11"/>
      <color theme="1"/>
      <name val="Calibri"/>
      <scheme val="minor"/>
    </font>
    <font>
      <sz val="9"/>
      <color theme="1"/>
      <name val="Calibri"/>
      <family val="2"/>
    </font>
    <font>
      <sz val="11"/>
      <color theme="1"/>
      <name val="Arial"/>
      <family val="2"/>
    </font>
    <font>
      <b/>
      <sz val="18"/>
      <color theme="1"/>
      <name val="Arial"/>
      <family val="2"/>
    </font>
    <font>
      <b/>
      <sz val="12"/>
      <color theme="1"/>
      <name val="Calibri"/>
      <family val="2"/>
    </font>
    <font>
      <sz val="9"/>
      <color theme="1"/>
      <name val="Arial"/>
      <family val="2"/>
    </font>
    <font>
      <sz val="9"/>
      <color theme="1"/>
      <name val="Noto Sans"/>
      <family val="2"/>
    </font>
    <font>
      <sz val="10"/>
      <color theme="1"/>
      <name val="Malgun Gothic"/>
      <family val="3"/>
      <charset val="129"/>
    </font>
    <font>
      <b/>
      <sz val="11"/>
      <color rgb="FFFFFFFF"/>
      <name val="Noto Sans"/>
      <family val="2"/>
    </font>
    <font>
      <b/>
      <sz val="11"/>
      <color theme="0"/>
      <name val="Noto Sans"/>
      <family val="2"/>
    </font>
    <font>
      <b/>
      <sz val="11"/>
      <color theme="1"/>
      <name val="Noto Sans"/>
      <family val="2"/>
    </font>
    <font>
      <u/>
      <sz val="9"/>
      <color theme="1"/>
      <name val="Noto Sans"/>
      <family val="2"/>
    </font>
    <font>
      <sz val="8"/>
      <color theme="1"/>
      <name val="Noto Sans"/>
      <family val="2"/>
    </font>
    <font>
      <sz val="9"/>
      <color rgb="FFFF0000"/>
      <name val="Noto Sans"/>
      <family val="2"/>
    </font>
    <font>
      <sz val="11"/>
      <color theme="1"/>
      <name val="Noto Sans"/>
      <family val="2"/>
    </font>
    <font>
      <b/>
      <sz val="36"/>
      <color theme="1"/>
      <name val="Arial"/>
      <family val="2"/>
    </font>
    <font>
      <sz val="22"/>
      <color theme="1"/>
      <name val="Noto Sans"/>
      <family val="2"/>
    </font>
    <font>
      <b/>
      <sz val="14"/>
      <color theme="1"/>
      <name val="Noto Sans"/>
      <family val="2"/>
    </font>
    <font>
      <sz val="12"/>
      <color theme="1"/>
      <name val="Noto Sans"/>
      <family val="2"/>
    </font>
    <font>
      <sz val="11"/>
      <color theme="1"/>
      <name val="Noto Sans"/>
      <family val="2"/>
    </font>
    <font>
      <sz val="11"/>
      <name val="Calibri"/>
      <family val="2"/>
    </font>
    <font>
      <b/>
      <sz val="14"/>
      <color rgb="FFFF0000"/>
      <name val="Noto Sans"/>
      <family val="2"/>
    </font>
    <font>
      <b/>
      <sz val="12"/>
      <color theme="1"/>
      <name val="Noto Sans"/>
      <family val="2"/>
    </font>
    <font>
      <sz val="11"/>
      <color rgb="FFFFFFFF"/>
      <name val="Noto Sans"/>
      <family val="2"/>
    </font>
    <font>
      <sz val="9"/>
      <color rgb="FF000000"/>
      <name val="Noto Sans"/>
      <family val="2"/>
    </font>
    <font>
      <sz val="9"/>
      <color rgb="FF000000"/>
      <name val="Malgun Gothic"/>
      <family val="3"/>
      <charset val="129"/>
    </font>
    <font>
      <sz val="9"/>
      <color rgb="FF9C5700"/>
      <name val="Calibri"/>
      <family val="2"/>
    </font>
    <font>
      <sz val="11"/>
      <color rgb="FF000000"/>
      <name val="Noto Sans"/>
      <family val="2"/>
    </font>
    <font>
      <b/>
      <sz val="14"/>
      <color rgb="FF000000"/>
      <name val="Noto Sans"/>
      <family val="2"/>
    </font>
    <font>
      <b/>
      <sz val="12"/>
      <color rgb="FF000000"/>
      <name val="Noto Sans"/>
      <family val="2"/>
    </font>
    <font>
      <sz val="12"/>
      <color rgb="FF000000"/>
      <name val="Noto Sans"/>
      <family val="2"/>
    </font>
    <font>
      <sz val="11"/>
      <color theme="1"/>
      <name val="Calibri"/>
      <family val="2"/>
    </font>
    <font>
      <u/>
      <sz val="9"/>
      <color rgb="FF1155CC"/>
      <name val="Noto Sans"/>
      <family val="2"/>
    </font>
    <font>
      <sz val="9"/>
      <color theme="1"/>
      <name val="Noto Sans"/>
      <family val="2"/>
    </font>
    <font>
      <sz val="8"/>
      <name val="Calibri"/>
      <family val="3"/>
      <charset val="129"/>
      <scheme val="minor"/>
    </font>
    <font>
      <sz val="11"/>
      <color theme="1"/>
      <name val="Calibri"/>
      <family val="2"/>
      <scheme val="minor"/>
    </font>
  </fonts>
  <fills count="4">
    <fill>
      <patternFill patternType="none"/>
    </fill>
    <fill>
      <patternFill patternType="gray125"/>
    </fill>
    <fill>
      <patternFill patternType="solid">
        <fgColor rgb="FF595959"/>
        <bgColor rgb="FF595959"/>
      </patternFill>
    </fill>
    <fill>
      <patternFill patternType="solid">
        <fgColor theme="0"/>
        <bgColor theme="0"/>
      </patternFill>
    </fill>
  </fills>
  <borders count="27">
    <border>
      <left/>
      <right/>
      <top/>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style="medium">
        <color rgb="FF000000"/>
      </bottom>
      <diagonal/>
    </border>
    <border>
      <left style="thin">
        <color rgb="FFFFFFFF"/>
      </left>
      <right style="thin">
        <color rgb="FFFFFFFF"/>
      </right>
      <top/>
      <bottom style="thin">
        <color rgb="FFFFFFFF"/>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diagonal/>
    </border>
    <border>
      <left style="thin">
        <color rgb="FF000000"/>
      </left>
      <right style="thin">
        <color rgb="FF000000"/>
      </right>
      <top style="thin">
        <color rgb="FF000000"/>
      </top>
      <bottom style="medium">
        <color rgb="FF000000"/>
      </bottom>
      <diagonal/>
    </border>
    <border>
      <left/>
      <right/>
      <top/>
      <bottom style="medium">
        <color rgb="FF000000"/>
      </bottom>
      <diagonal/>
    </border>
    <border>
      <left/>
      <right/>
      <top/>
      <bottom style="thin">
        <color rgb="FF000000"/>
      </bottom>
      <diagonal/>
    </border>
    <border>
      <left style="medium">
        <color rgb="FF000000"/>
      </left>
      <right style="thin">
        <color rgb="FF000000"/>
      </right>
      <top style="medium">
        <color rgb="FF000000"/>
      </top>
      <bottom style="double">
        <color rgb="FF00000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s>
  <cellStyleXfs count="1">
    <xf numFmtId="0" fontId="0" fillId="0" borderId="0"/>
  </cellStyleXfs>
  <cellXfs count="114">
    <xf numFmtId="0" fontId="0" fillId="0" borderId="0" xfId="0" applyAlignment="1">
      <alignment vertical="center"/>
    </xf>
    <xf numFmtId="0" fontId="1" fillId="0" borderId="1" xfId="0" applyFont="1" applyBorder="1" applyAlignment="1">
      <alignment vertical="center"/>
    </xf>
    <xf numFmtId="0" fontId="2" fillId="0" borderId="0" xfId="0" applyFont="1"/>
    <xf numFmtId="0" fontId="3" fillId="0" borderId="2" xfId="0" applyFont="1" applyBorder="1" applyAlignment="1">
      <alignment vertical="center"/>
    </xf>
    <xf numFmtId="0" fontId="1" fillId="0" borderId="2" xfId="0" applyFont="1" applyBorder="1" applyAlignment="1">
      <alignment vertical="center"/>
    </xf>
    <xf numFmtId="0" fontId="4" fillId="0" borderId="3" xfId="0" applyFont="1" applyBorder="1" applyAlignment="1">
      <alignment vertical="center"/>
    </xf>
    <xf numFmtId="0" fontId="1" fillId="0" borderId="3" xfId="0" applyFont="1" applyBorder="1" applyAlignment="1">
      <alignment vertical="center"/>
    </xf>
    <xf numFmtId="0" fontId="5" fillId="0" borderId="1" xfId="0" applyFont="1" applyBorder="1" applyAlignment="1">
      <alignment vertical="center"/>
    </xf>
    <xf numFmtId="0" fontId="6" fillId="0" borderId="1" xfId="0" applyFont="1" applyBorder="1" applyAlignment="1">
      <alignment vertical="center"/>
    </xf>
    <xf numFmtId="0" fontId="4" fillId="0" borderId="1" xfId="0" applyFont="1" applyBorder="1" applyAlignment="1">
      <alignment vertical="center"/>
    </xf>
    <xf numFmtId="0" fontId="7" fillId="0" borderId="0" xfId="0" applyFont="1"/>
    <xf numFmtId="0" fontId="7" fillId="0" borderId="0" xfId="0" applyFont="1" applyAlignment="1">
      <alignment wrapText="1"/>
    </xf>
    <xf numFmtId="0" fontId="7" fillId="0" borderId="0" xfId="0" applyFont="1" applyAlignment="1">
      <alignment vertical="center"/>
    </xf>
    <xf numFmtId="0" fontId="7" fillId="0" borderId="0" xfId="0" quotePrefix="1" applyFont="1" applyAlignment="1">
      <alignment vertical="center"/>
    </xf>
    <xf numFmtId="0" fontId="8" fillId="2" borderId="4" xfId="0" applyFont="1" applyFill="1" applyBorder="1" applyAlignment="1">
      <alignment horizontal="center" vertical="center"/>
    </xf>
    <xf numFmtId="0" fontId="9" fillId="2" borderId="4" xfId="0" applyFont="1" applyFill="1" applyBorder="1" applyAlignment="1">
      <alignment horizontal="center" vertical="center"/>
    </xf>
    <xf numFmtId="49" fontId="10" fillId="0" borderId="0" xfId="0" applyNumberFormat="1"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horizontal="center" vertical="center"/>
    </xf>
    <xf numFmtId="49" fontId="6" fillId="0" borderId="4" xfId="0" applyNumberFormat="1" applyFont="1" applyBorder="1" applyAlignment="1">
      <alignment horizontal="left" vertical="center" wrapText="1"/>
    </xf>
    <xf numFmtId="0" fontId="6" fillId="3" borderId="5" xfId="0" applyFont="1" applyFill="1" applyBorder="1" applyAlignment="1">
      <alignment horizontal="left" vertical="center" wrapText="1"/>
    </xf>
    <xf numFmtId="0" fontId="6" fillId="0" borderId="4" xfId="0" applyFont="1" applyBorder="1" applyAlignment="1">
      <alignment vertical="center"/>
    </xf>
    <xf numFmtId="49" fontId="6" fillId="0" borderId="0" xfId="0" applyNumberFormat="1" applyFont="1" applyAlignment="1">
      <alignment vertical="center"/>
    </xf>
    <xf numFmtId="0" fontId="6" fillId="3" borderId="4" xfId="0" applyFont="1" applyFill="1" applyBorder="1" applyAlignment="1">
      <alignment horizontal="center" vertical="center" wrapText="1"/>
    </xf>
    <xf numFmtId="0" fontId="6" fillId="0" borderId="4" xfId="0" applyFont="1" applyBorder="1" applyAlignment="1">
      <alignment horizontal="left" vertical="center" wrapText="1"/>
    </xf>
    <xf numFmtId="176" fontId="6" fillId="0" borderId="4" xfId="0" applyNumberFormat="1" applyFont="1" applyBorder="1" applyAlignment="1">
      <alignment horizontal="left" vertical="center" wrapText="1"/>
    </xf>
    <xf numFmtId="0" fontId="6" fillId="0" borderId="0" xfId="0" applyFont="1" applyAlignment="1">
      <alignment vertical="center"/>
    </xf>
    <xf numFmtId="0" fontId="6" fillId="3" borderId="6" xfId="0" applyFont="1" applyFill="1" applyBorder="1" applyAlignment="1">
      <alignment horizontal="center" vertical="center"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xf>
    <xf numFmtId="0" fontId="6" fillId="0" borderId="5" xfId="0" applyFont="1" applyBorder="1" applyAlignment="1">
      <alignment horizontal="left" vertical="center" wrapText="1"/>
    </xf>
    <xf numFmtId="0" fontId="6" fillId="3" borderId="4" xfId="0" applyFont="1" applyFill="1" applyBorder="1" applyAlignment="1">
      <alignment horizontal="left" vertical="center" wrapText="1"/>
    </xf>
    <xf numFmtId="0" fontId="6" fillId="3" borderId="4" xfId="0" applyFont="1" applyFill="1" applyBorder="1" applyAlignment="1">
      <alignment vertical="center"/>
    </xf>
    <xf numFmtId="0" fontId="6" fillId="3" borderId="7" xfId="0" applyFont="1" applyFill="1" applyBorder="1" applyAlignment="1">
      <alignment vertical="center"/>
    </xf>
    <xf numFmtId="0" fontId="6" fillId="3" borderId="8" xfId="0" applyFont="1" applyFill="1" applyBorder="1" applyAlignment="1">
      <alignment horizontal="center" vertical="center" wrapText="1"/>
    </xf>
    <xf numFmtId="0" fontId="6" fillId="0" borderId="8" xfId="0" applyFont="1" applyBorder="1" applyAlignment="1">
      <alignment horizontal="center" vertical="center" wrapText="1"/>
    </xf>
    <xf numFmtId="0" fontId="6" fillId="0" borderId="8" xfId="0" applyFont="1" applyBorder="1" applyAlignment="1">
      <alignment horizontal="center" vertical="center"/>
    </xf>
    <xf numFmtId="0" fontId="6" fillId="0" borderId="8" xfId="0" applyFont="1" applyBorder="1" applyAlignment="1">
      <alignment horizontal="left" vertical="center" wrapText="1"/>
    </xf>
    <xf numFmtId="0" fontId="6" fillId="0" borderId="8" xfId="0" applyFont="1" applyBorder="1" applyAlignment="1">
      <alignment vertical="center"/>
    </xf>
    <xf numFmtId="0" fontId="6" fillId="0" borderId="9" xfId="0" applyFont="1" applyBorder="1" applyAlignment="1">
      <alignment vertical="center"/>
    </xf>
    <xf numFmtId="0" fontId="6" fillId="3" borderId="5" xfId="0" applyFont="1" applyFill="1" applyBorder="1" applyAlignment="1">
      <alignment horizontal="center" vertical="center" wrapText="1"/>
    </xf>
    <xf numFmtId="0" fontId="6" fillId="0" borderId="5" xfId="0" applyFont="1" applyBorder="1" applyAlignment="1">
      <alignment vertical="center"/>
    </xf>
    <xf numFmtId="0" fontId="11" fillId="3" borderId="4" xfId="0" applyFont="1" applyFill="1" applyBorder="1" applyAlignment="1">
      <alignment horizontal="left" vertical="center" wrapText="1"/>
    </xf>
    <xf numFmtId="49" fontId="12" fillId="3" borderId="4" xfId="0" applyNumberFormat="1" applyFont="1" applyFill="1" applyBorder="1" applyAlignment="1">
      <alignment horizontal="left" vertical="top" wrapText="1"/>
    </xf>
    <xf numFmtId="0" fontId="13" fillId="3" borderId="4" xfId="0" applyFont="1" applyFill="1" applyBorder="1" applyAlignment="1">
      <alignment vertical="center"/>
    </xf>
    <xf numFmtId="0" fontId="13" fillId="3" borderId="7" xfId="0" applyFont="1" applyFill="1" applyBorder="1" applyAlignment="1">
      <alignment vertical="center"/>
    </xf>
    <xf numFmtId="0" fontId="13" fillId="3" borderId="0" xfId="0" applyFont="1" applyFill="1" applyAlignment="1">
      <alignment vertical="center"/>
    </xf>
    <xf numFmtId="0" fontId="14" fillId="0" borderId="0" xfId="0" applyFont="1" applyAlignment="1">
      <alignment horizontal="center" vertical="center"/>
    </xf>
    <xf numFmtId="0" fontId="6" fillId="0" borderId="0" xfId="0" applyFont="1" applyAlignment="1">
      <alignment horizontal="center" vertical="center"/>
    </xf>
    <xf numFmtId="0" fontId="14" fillId="0" borderId="0" xfId="0" applyFont="1" applyAlignment="1">
      <alignment horizontal="left" vertical="center"/>
    </xf>
    <xf numFmtId="0" fontId="14" fillId="0" borderId="0" xfId="0" applyFont="1" applyAlignment="1">
      <alignment vertical="center" wrapText="1"/>
    </xf>
    <xf numFmtId="0" fontId="14" fillId="0" borderId="0" xfId="0" applyFont="1" applyAlignment="1">
      <alignment horizontal="center" vertical="center" wrapText="1"/>
    </xf>
    <xf numFmtId="0" fontId="16" fillId="0" borderId="0" xfId="0" applyFont="1" applyAlignment="1">
      <alignment vertical="center"/>
    </xf>
    <xf numFmtId="0" fontId="17" fillId="0" borderId="0" xfId="0" applyFont="1" applyAlignment="1">
      <alignment vertical="center" wrapText="1"/>
    </xf>
    <xf numFmtId="0" fontId="18" fillId="0" borderId="0" xfId="0" applyFont="1" applyAlignment="1">
      <alignment vertical="center" wrapText="1"/>
    </xf>
    <xf numFmtId="49" fontId="14" fillId="0" borderId="10" xfId="0" applyNumberFormat="1" applyFont="1" applyBorder="1" applyAlignment="1">
      <alignment vertical="center"/>
    </xf>
    <xf numFmtId="0" fontId="2" fillId="0" borderId="10" xfId="0" applyFont="1" applyBorder="1" applyAlignment="1">
      <alignment vertical="center"/>
    </xf>
    <xf numFmtId="0" fontId="2" fillId="0" borderId="0" xfId="0" applyFont="1" applyAlignment="1">
      <alignment horizontal="center" vertical="center"/>
    </xf>
    <xf numFmtId="0" fontId="19" fillId="0" borderId="0" xfId="0" applyFont="1" applyAlignment="1">
      <alignment horizontal="center" vertical="center" wrapText="1"/>
    </xf>
    <xf numFmtId="0" fontId="14" fillId="0" borderId="10" xfId="0" applyFont="1" applyBorder="1" applyAlignment="1">
      <alignment horizontal="center" vertical="center" wrapText="1"/>
    </xf>
    <xf numFmtId="177" fontId="14" fillId="0" borderId="10" xfId="0" applyNumberFormat="1" applyFont="1" applyBorder="1" applyAlignment="1">
      <alignment vertical="center"/>
    </xf>
    <xf numFmtId="14" fontId="19" fillId="0" borderId="0" xfId="0" applyNumberFormat="1" applyFont="1" applyAlignment="1">
      <alignment horizontal="center" vertical="center" wrapText="1"/>
    </xf>
    <xf numFmtId="176" fontId="14" fillId="0" borderId="10" xfId="0" applyNumberFormat="1" applyFont="1" applyBorder="1" applyAlignment="1">
      <alignment horizontal="center" vertical="center" wrapText="1"/>
    </xf>
    <xf numFmtId="14" fontId="14" fillId="0" borderId="10" xfId="0" applyNumberFormat="1" applyFont="1" applyBorder="1" applyAlignment="1">
      <alignment horizontal="left" vertical="center" wrapText="1"/>
    </xf>
    <xf numFmtId="0" fontId="14" fillId="0" borderId="0" xfId="0" quotePrefix="1" applyFont="1" applyAlignment="1">
      <alignment vertical="center" wrapText="1"/>
    </xf>
    <xf numFmtId="179" fontId="22" fillId="0" borderId="0" xfId="0" applyNumberFormat="1" applyFont="1" applyAlignment="1">
      <alignment horizontal="right" vertical="center" wrapText="1"/>
    </xf>
    <xf numFmtId="0" fontId="18" fillId="0" borderId="0" xfId="0" quotePrefix="1" applyFont="1" applyAlignment="1">
      <alignment vertical="center" wrapText="1"/>
    </xf>
    <xf numFmtId="0" fontId="23" fillId="2" borderId="11" xfId="0" applyFont="1" applyFill="1" applyBorder="1" applyAlignment="1">
      <alignment horizontal="center" vertical="center" wrapText="1"/>
    </xf>
    <xf numFmtId="0" fontId="24" fillId="0" borderId="12" xfId="0" applyFont="1" applyBorder="1" applyAlignment="1">
      <alignment horizontal="center" vertical="center" wrapText="1"/>
    </xf>
    <xf numFmtId="0" fontId="24" fillId="0" borderId="5" xfId="0" applyFont="1" applyBorder="1" applyAlignment="1">
      <alignment horizontal="center" vertical="center" wrapText="1"/>
    </xf>
    <xf numFmtId="0" fontId="25" fillId="0" borderId="5" xfId="0" applyFont="1" applyBorder="1" applyAlignment="1">
      <alignment horizontal="center" vertical="center" wrapText="1"/>
    </xf>
    <xf numFmtId="0" fontId="24" fillId="0" borderId="5" xfId="0" applyFont="1" applyBorder="1" applyAlignment="1">
      <alignment vertical="center" wrapText="1"/>
    </xf>
    <xf numFmtId="0" fontId="24" fillId="0" borderId="13" xfId="0" applyFont="1" applyBorder="1" applyAlignment="1">
      <alignment vertical="center" wrapText="1"/>
    </xf>
    <xf numFmtId="0" fontId="14" fillId="0" borderId="0" xfId="0" applyFont="1" applyAlignment="1">
      <alignment vertical="center"/>
    </xf>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25" fillId="0" borderId="15" xfId="0" applyFont="1" applyBorder="1" applyAlignment="1">
      <alignment horizontal="center" vertical="center" wrapText="1"/>
    </xf>
    <xf numFmtId="0" fontId="24" fillId="0" borderId="15" xfId="0" applyFont="1" applyBorder="1" applyAlignment="1">
      <alignment vertical="center" wrapText="1"/>
    </xf>
    <xf numFmtId="0" fontId="24" fillId="0" borderId="16" xfId="0" applyFont="1" applyBorder="1" applyAlignment="1">
      <alignment vertical="center" wrapText="1"/>
    </xf>
    <xf numFmtId="0" fontId="24" fillId="0" borderId="17" xfId="0" applyFont="1" applyBorder="1" applyAlignment="1">
      <alignment horizontal="center" vertical="center" wrapText="1"/>
    </xf>
    <xf numFmtId="0" fontId="24" fillId="0" borderId="18" xfId="0" applyFont="1" applyBorder="1" applyAlignment="1">
      <alignment horizontal="center" vertical="center" wrapText="1"/>
    </xf>
    <xf numFmtId="0" fontId="24" fillId="0" borderId="18" xfId="0" applyFont="1" applyBorder="1" applyAlignment="1">
      <alignment vertical="center" wrapText="1"/>
    </xf>
    <xf numFmtId="0" fontId="26" fillId="0" borderId="18" xfId="0" applyFont="1" applyBorder="1" applyAlignment="1">
      <alignment horizontal="center" vertical="center" wrapText="1"/>
    </xf>
    <xf numFmtId="0" fontId="24" fillId="0" borderId="19" xfId="0" applyFont="1" applyBorder="1" applyAlignment="1">
      <alignment vertical="center" wrapText="1"/>
    </xf>
    <xf numFmtId="0" fontId="24" fillId="0" borderId="20"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vertical="center" wrapText="1"/>
    </xf>
    <xf numFmtId="0" fontId="26" fillId="0" borderId="4" xfId="0" applyFont="1" applyBorder="1" applyAlignment="1">
      <alignment horizontal="center" vertical="center" wrapText="1"/>
    </xf>
    <xf numFmtId="0" fontId="24" fillId="0" borderId="21" xfId="0" applyFont="1" applyBorder="1" applyAlignment="1">
      <alignment vertical="center" wrapText="1"/>
    </xf>
    <xf numFmtId="0" fontId="24" fillId="0" borderId="22" xfId="0" applyFont="1" applyBorder="1" applyAlignment="1">
      <alignment horizontal="center" vertical="center" wrapText="1"/>
    </xf>
    <xf numFmtId="0" fontId="24" fillId="0" borderId="8" xfId="0" applyFont="1" applyBorder="1" applyAlignment="1">
      <alignment horizontal="center" vertical="center" wrapText="1"/>
    </xf>
    <xf numFmtId="0" fontId="24" fillId="0" borderId="8" xfId="0" applyFont="1" applyBorder="1" applyAlignment="1">
      <alignment vertical="center" wrapText="1"/>
    </xf>
    <xf numFmtId="0" fontId="24" fillId="0" borderId="23" xfId="0" applyFont="1" applyBorder="1" applyAlignment="1">
      <alignment vertical="center" wrapText="1"/>
    </xf>
    <xf numFmtId="0" fontId="27" fillId="0" borderId="0" xfId="0" quotePrefix="1" applyFont="1" applyAlignment="1">
      <alignment horizontal="center" vertical="center" wrapText="1"/>
    </xf>
    <xf numFmtId="0" fontId="27" fillId="0" borderId="0" xfId="0" applyFont="1" applyAlignment="1">
      <alignment horizontal="center" vertical="center" wrapText="1"/>
    </xf>
    <xf numFmtId="0" fontId="27" fillId="0" borderId="0" xfId="0" applyFont="1" applyAlignment="1">
      <alignment vertical="center" wrapText="1"/>
    </xf>
    <xf numFmtId="0" fontId="28" fillId="0" borderId="0" xfId="0" applyFont="1" applyAlignment="1">
      <alignment horizontal="left" vertical="center" wrapText="1"/>
    </xf>
    <xf numFmtId="0" fontId="29" fillId="0" borderId="0" xfId="0" applyFont="1" applyAlignment="1">
      <alignment horizontal="right" vertical="center" wrapText="1"/>
    </xf>
    <xf numFmtId="0" fontId="30" fillId="0" borderId="0" xfId="0" quotePrefix="1" applyFont="1" applyAlignment="1">
      <alignment horizontal="center" vertical="center" wrapText="1"/>
    </xf>
    <xf numFmtId="0" fontId="6" fillId="0" borderId="12" xfId="0" applyFont="1" applyBorder="1" applyAlignment="1">
      <alignment horizontal="center" vertical="center" wrapText="1"/>
    </xf>
    <xf numFmtId="0" fontId="6" fillId="0" borderId="13" xfId="0" applyFont="1" applyBorder="1" applyAlignment="1">
      <alignment horizontal="left" vertical="center" wrapText="1"/>
    </xf>
    <xf numFmtId="0" fontId="31" fillId="0" borderId="5" xfId="0" applyFont="1" applyBorder="1" applyAlignment="1">
      <alignment horizontal="center" vertical="center" wrapText="1"/>
    </xf>
    <xf numFmtId="0" fontId="31" fillId="0" borderId="13" xfId="0" applyFont="1" applyBorder="1" applyAlignment="1">
      <alignment horizontal="left" vertical="center" wrapText="1"/>
    </xf>
    <xf numFmtId="0" fontId="27" fillId="0" borderId="4" xfId="0" applyFont="1" applyBorder="1" applyAlignment="1">
      <alignment horizontal="center" vertical="center" wrapText="1"/>
    </xf>
    <xf numFmtId="0" fontId="31" fillId="0" borderId="24" xfId="0" applyFont="1" applyBorder="1" applyAlignment="1">
      <alignment horizontal="center" vertical="center" wrapText="1"/>
    </xf>
    <xf numFmtId="0" fontId="31" fillId="0" borderId="25" xfId="0" applyFont="1" applyBorder="1" applyAlignment="1">
      <alignment horizontal="center" vertical="center" wrapText="1"/>
    </xf>
    <xf numFmtId="0" fontId="27" fillId="0" borderId="8" xfId="0" applyFont="1" applyBorder="1" applyAlignment="1">
      <alignment horizontal="center" vertical="center" wrapText="1"/>
    </xf>
    <xf numFmtId="0" fontId="31" fillId="0" borderId="26" xfId="0" applyFont="1" applyBorder="1" applyAlignment="1">
      <alignment horizontal="left" vertical="center" wrapText="1"/>
    </xf>
    <xf numFmtId="49" fontId="33" fillId="0" borderId="4" xfId="0" applyNumberFormat="1" applyFont="1" applyBorder="1" applyAlignment="1">
      <alignment horizontal="left" vertical="center" wrapText="1"/>
    </xf>
    <xf numFmtId="0" fontId="15" fillId="0" borderId="0" xfId="0" applyFont="1" applyAlignment="1">
      <alignment horizontal="center" vertical="center" wrapText="1"/>
    </xf>
    <xf numFmtId="0" fontId="0" fillId="0" borderId="0" xfId="0" applyAlignment="1">
      <alignment vertical="center"/>
    </xf>
    <xf numFmtId="178" fontId="14" fillId="0" borderId="10" xfId="0" applyNumberFormat="1" applyFont="1" applyBorder="1" applyAlignment="1">
      <alignment horizontal="left" vertical="center" wrapText="1"/>
    </xf>
    <xf numFmtId="0" fontId="20" fillId="0" borderId="10" xfId="0" applyFont="1" applyBorder="1" applyAlignment="1">
      <alignment vertical="center"/>
    </xf>
    <xf numFmtId="0" fontId="21" fillId="0" borderId="0" xfId="0" applyFont="1" applyAlignment="1">
      <alignment horizontal="left" vertical="center" wrapText="1"/>
    </xf>
  </cellXfs>
  <cellStyles count="1">
    <cellStyle name="표준" xfId="0" builtinId="0"/>
  </cellStyles>
  <dxfs count="13">
    <dxf>
      <font>
        <b/>
        <color rgb="FF0000FF"/>
      </font>
      <fill>
        <patternFill patternType="none"/>
      </fill>
    </dxf>
    <dxf>
      <font>
        <b/>
        <color rgb="FFFF9900"/>
      </font>
      <fill>
        <patternFill patternType="none"/>
      </fill>
    </dxf>
    <dxf>
      <font>
        <b/>
        <color rgb="FFFF0000"/>
      </font>
      <fill>
        <patternFill patternType="none"/>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5700"/>
      </font>
      <fill>
        <patternFill patternType="solid">
          <fgColor rgb="FFFFEB9C"/>
          <bgColor rgb="FFFFEB9C"/>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5700"/>
      </font>
      <fill>
        <patternFill patternType="solid">
          <fgColor rgb="FFFFEB9C"/>
          <bgColor rgb="FFFFEB9C"/>
        </patternFill>
      </fill>
    </dxf>
    <dxf>
      <font>
        <b/>
        <color rgb="FF0000FF"/>
      </font>
      <fill>
        <patternFill patternType="none"/>
      </fill>
    </dxf>
    <dxf>
      <font>
        <b/>
        <color rgb="FFFF9900"/>
      </font>
      <fill>
        <patternFill patternType="none"/>
      </fill>
    </dxf>
    <dxf>
      <font>
        <b/>
        <color rgb="FFFF0000"/>
      </font>
      <fill>
        <patternFill patternType="none"/>
      </fill>
    </dxf>
    <dxf>
      <fill>
        <patternFill patternType="solid">
          <fgColor rgb="FFB4E8F2"/>
          <bgColor rgb="FFB4E8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10" Type="http://schemas.openxmlformats.org/officeDocument/2006/relationships/styles" Target="styles.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2333625</xdr:colOff>
      <xdr:row>1</xdr:row>
      <xdr:rowOff>19050</xdr:rowOff>
    </xdr:from>
    <xdr:ext cx="2400300" cy="457200"/>
    <xdr:pic>
      <xdr:nvPicPr>
        <xdr:cNvPr id="2" name="image1.png" title="이미지">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76200</xdr:colOff>
      <xdr:row>1</xdr:row>
      <xdr:rowOff>19050</xdr:rowOff>
    </xdr:from>
    <xdr:ext cx="2400300" cy="504825"/>
    <xdr:pic>
      <xdr:nvPicPr>
        <xdr:cNvPr id="3" name="image2.png" title="이미지">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asia.artifacts.staging.appspot.com/" TargetMode="External"/><Relationship Id="rId1" Type="http://schemas.openxmlformats.org/officeDocument/2006/relationships/hyperlink" Target="http://asia.artifacts.abcd.appspot.com/"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1000"/>
  <sheetViews>
    <sheetView workbookViewId="0"/>
  </sheetViews>
  <sheetFormatPr defaultColWidth="14.42578125" defaultRowHeight="15" customHeight="1"/>
  <cols>
    <col min="1" max="1" width="3" customWidth="1"/>
    <col min="2" max="2" width="2.28515625" customWidth="1"/>
    <col min="3" max="3" width="16.42578125" customWidth="1"/>
    <col min="4" max="4" width="33.42578125" customWidth="1"/>
    <col min="5" max="5" width="16.42578125" customWidth="1"/>
    <col min="6" max="6" width="32.85546875" customWidth="1"/>
    <col min="7" max="26" width="11" customWidth="1"/>
  </cols>
  <sheetData>
    <row r="1" spans="1:26" ht="15.75" customHeight="1">
      <c r="A1" s="1"/>
      <c r="B1" s="1"/>
      <c r="C1" s="1"/>
      <c r="D1" s="1"/>
      <c r="E1" s="1"/>
      <c r="F1" s="1"/>
      <c r="G1" s="2"/>
      <c r="H1" s="2"/>
      <c r="I1" s="2"/>
      <c r="J1" s="2"/>
      <c r="K1" s="2"/>
      <c r="L1" s="2"/>
      <c r="M1" s="2"/>
      <c r="N1" s="2"/>
      <c r="O1" s="2"/>
      <c r="P1" s="2"/>
      <c r="Q1" s="2"/>
      <c r="R1" s="2"/>
      <c r="S1" s="2"/>
      <c r="T1" s="2"/>
      <c r="U1" s="2"/>
      <c r="V1" s="2"/>
      <c r="W1" s="2"/>
      <c r="X1" s="2"/>
      <c r="Y1" s="2"/>
      <c r="Z1" s="2"/>
    </row>
    <row r="2" spans="1:26" ht="15.75" customHeight="1">
      <c r="A2" s="1"/>
      <c r="B2" s="3" t="s">
        <v>0</v>
      </c>
      <c r="C2" s="4"/>
      <c r="D2" s="1"/>
      <c r="E2" s="1"/>
      <c r="F2" s="1"/>
      <c r="G2" s="2"/>
      <c r="H2" s="2"/>
      <c r="I2" s="2"/>
      <c r="J2" s="2"/>
      <c r="K2" s="2"/>
      <c r="L2" s="2"/>
      <c r="M2" s="2"/>
      <c r="N2" s="2"/>
      <c r="O2" s="2"/>
      <c r="P2" s="2"/>
      <c r="Q2" s="2"/>
      <c r="R2" s="2"/>
      <c r="S2" s="2"/>
      <c r="T2" s="2"/>
      <c r="U2" s="2"/>
      <c r="V2" s="2"/>
      <c r="W2" s="2"/>
      <c r="X2" s="2"/>
      <c r="Y2" s="2"/>
      <c r="Z2" s="2"/>
    </row>
    <row r="3" spans="1:26" ht="15.75" customHeight="1">
      <c r="A3" s="1"/>
      <c r="B3" s="1"/>
      <c r="C3" s="1"/>
      <c r="D3" s="1"/>
      <c r="E3" s="1"/>
      <c r="F3" s="1"/>
      <c r="G3" s="2"/>
      <c r="H3" s="2"/>
      <c r="I3" s="2"/>
      <c r="J3" s="2"/>
      <c r="K3" s="2"/>
      <c r="L3" s="2"/>
      <c r="M3" s="2"/>
      <c r="N3" s="2"/>
      <c r="O3" s="2"/>
      <c r="P3" s="2"/>
      <c r="Q3" s="2"/>
      <c r="R3" s="2"/>
      <c r="S3" s="2"/>
      <c r="T3" s="2"/>
      <c r="U3" s="2"/>
      <c r="V3" s="2"/>
      <c r="W3" s="2"/>
      <c r="X3" s="2"/>
      <c r="Y3" s="2"/>
      <c r="Z3" s="2"/>
    </row>
    <row r="4" spans="1:26" ht="15.75" customHeight="1">
      <c r="A4" s="1"/>
      <c r="B4" s="5" t="s">
        <v>1</v>
      </c>
      <c r="C4" s="6"/>
      <c r="D4" s="1"/>
      <c r="E4" s="1"/>
      <c r="F4" s="1"/>
      <c r="G4" s="2"/>
      <c r="H4" s="2"/>
      <c r="I4" s="2"/>
      <c r="J4" s="2"/>
      <c r="K4" s="2"/>
      <c r="L4" s="2"/>
      <c r="M4" s="2"/>
      <c r="N4" s="2"/>
      <c r="O4" s="2"/>
      <c r="P4" s="2"/>
      <c r="Q4" s="2"/>
      <c r="R4" s="2"/>
      <c r="S4" s="2"/>
      <c r="T4" s="2"/>
      <c r="U4" s="2"/>
      <c r="V4" s="2"/>
      <c r="W4" s="2"/>
      <c r="X4" s="2"/>
      <c r="Y4" s="2"/>
      <c r="Z4" s="2"/>
    </row>
    <row r="5" spans="1:26" ht="15.75" customHeight="1">
      <c r="A5" s="1"/>
      <c r="B5" s="7"/>
      <c r="C5" s="7" t="s">
        <v>2</v>
      </c>
      <c r="D5" s="8"/>
      <c r="E5" s="8"/>
      <c r="F5" s="8"/>
      <c r="G5" s="2"/>
      <c r="H5" s="2"/>
      <c r="I5" s="2"/>
      <c r="J5" s="2"/>
      <c r="K5" s="2"/>
      <c r="L5" s="2"/>
      <c r="M5" s="2"/>
      <c r="N5" s="2"/>
      <c r="O5" s="2"/>
      <c r="P5" s="2"/>
      <c r="Q5" s="2"/>
      <c r="R5" s="2"/>
      <c r="S5" s="2"/>
      <c r="T5" s="2"/>
      <c r="U5" s="2"/>
      <c r="V5" s="2"/>
      <c r="W5" s="2"/>
      <c r="X5" s="2"/>
      <c r="Y5" s="2"/>
      <c r="Z5" s="2"/>
    </row>
    <row r="6" spans="1:26" ht="15.75" customHeight="1">
      <c r="A6" s="1"/>
      <c r="B6" s="9"/>
      <c r="C6" s="1"/>
      <c r="D6" s="1"/>
      <c r="E6" s="1"/>
      <c r="F6" s="1"/>
      <c r="G6" s="2"/>
      <c r="H6" s="2"/>
      <c r="I6" s="2"/>
      <c r="J6" s="2"/>
      <c r="K6" s="2"/>
      <c r="L6" s="2"/>
      <c r="M6" s="2"/>
      <c r="N6" s="2"/>
      <c r="O6" s="2"/>
      <c r="P6" s="2"/>
      <c r="Q6" s="2"/>
      <c r="R6" s="2"/>
      <c r="S6" s="2"/>
      <c r="T6" s="2"/>
      <c r="U6" s="2"/>
      <c r="V6" s="2"/>
      <c r="W6" s="2"/>
      <c r="X6" s="2"/>
      <c r="Y6" s="2"/>
      <c r="Z6" s="2"/>
    </row>
    <row r="7" spans="1:26" ht="15.75" customHeight="1">
      <c r="A7" s="1"/>
      <c r="B7" s="9" t="s">
        <v>3</v>
      </c>
      <c r="C7" s="1"/>
      <c r="D7" s="1"/>
      <c r="E7" s="1"/>
      <c r="F7" s="1"/>
      <c r="G7" s="2"/>
      <c r="H7" s="2"/>
      <c r="I7" s="2"/>
      <c r="J7" s="2"/>
      <c r="K7" s="2"/>
      <c r="L7" s="2"/>
      <c r="M7" s="2"/>
      <c r="N7" s="2"/>
      <c r="O7" s="2"/>
      <c r="P7" s="2"/>
      <c r="Q7" s="2"/>
      <c r="R7" s="2"/>
      <c r="S7" s="2"/>
      <c r="T7" s="2"/>
      <c r="U7" s="2"/>
      <c r="V7" s="2"/>
      <c r="W7" s="2"/>
      <c r="X7" s="2"/>
      <c r="Y7" s="2"/>
      <c r="Z7" s="2"/>
    </row>
    <row r="8" spans="1:26" ht="15.75" customHeight="1">
      <c r="A8" s="1"/>
      <c r="B8" s="7"/>
      <c r="C8" s="7" t="s">
        <v>4</v>
      </c>
      <c r="D8" s="8"/>
      <c r="E8" s="8"/>
      <c r="F8" s="8"/>
      <c r="G8" s="2"/>
      <c r="H8" s="2"/>
      <c r="I8" s="2"/>
      <c r="J8" s="2"/>
      <c r="K8" s="2"/>
      <c r="L8" s="2"/>
      <c r="M8" s="2"/>
      <c r="N8" s="2"/>
      <c r="O8" s="2"/>
      <c r="P8" s="2"/>
      <c r="Q8" s="2"/>
      <c r="R8" s="2"/>
      <c r="S8" s="2"/>
      <c r="T8" s="2"/>
      <c r="U8" s="2"/>
      <c r="V8" s="2"/>
      <c r="W8" s="2"/>
      <c r="X8" s="2"/>
      <c r="Y8" s="2"/>
      <c r="Z8" s="2"/>
    </row>
    <row r="9" spans="1:26" ht="15.75" customHeight="1">
      <c r="A9" s="1"/>
      <c r="B9" s="7"/>
      <c r="C9" s="7" t="s">
        <v>5</v>
      </c>
      <c r="D9" s="8"/>
      <c r="E9" s="8"/>
      <c r="F9" s="8"/>
      <c r="G9" s="2"/>
      <c r="H9" s="2"/>
      <c r="I9" s="2"/>
      <c r="J9" s="2"/>
      <c r="K9" s="2"/>
      <c r="L9" s="2"/>
      <c r="M9" s="2"/>
      <c r="N9" s="2"/>
      <c r="O9" s="2"/>
      <c r="P9" s="2"/>
      <c r="Q9" s="2"/>
      <c r="R9" s="2"/>
      <c r="S9" s="2"/>
      <c r="T9" s="2"/>
      <c r="U9" s="2"/>
      <c r="V9" s="2"/>
      <c r="W9" s="2"/>
      <c r="X9" s="2"/>
      <c r="Y9" s="2"/>
      <c r="Z9" s="2"/>
    </row>
    <row r="10" spans="1:26" ht="15.75" customHeight="1">
      <c r="A10" s="1"/>
      <c r="B10" s="7"/>
      <c r="C10" s="7" t="s">
        <v>6</v>
      </c>
      <c r="D10" s="8"/>
      <c r="E10" s="8"/>
      <c r="F10" s="8"/>
      <c r="G10" s="2"/>
      <c r="H10" s="2"/>
      <c r="I10" s="2"/>
      <c r="J10" s="2"/>
      <c r="K10" s="2"/>
      <c r="L10" s="2"/>
      <c r="M10" s="2"/>
      <c r="N10" s="2"/>
      <c r="O10" s="2"/>
      <c r="P10" s="2"/>
      <c r="Q10" s="2"/>
      <c r="R10" s="2"/>
      <c r="S10" s="2"/>
      <c r="T10" s="2"/>
      <c r="U10" s="2"/>
      <c r="V10" s="2"/>
      <c r="W10" s="2"/>
      <c r="X10" s="2"/>
      <c r="Y10" s="2"/>
      <c r="Z10" s="2"/>
    </row>
    <row r="11" spans="1:26" ht="15.75" customHeight="1">
      <c r="A11" s="1"/>
      <c r="B11" s="9"/>
      <c r="C11" s="1"/>
      <c r="D11" s="1"/>
      <c r="E11" s="1"/>
      <c r="F11" s="1"/>
      <c r="G11" s="2"/>
      <c r="H11" s="2"/>
      <c r="I11" s="2"/>
      <c r="J11" s="2"/>
      <c r="K11" s="2"/>
      <c r="L11" s="2"/>
      <c r="M11" s="2"/>
      <c r="N11" s="2"/>
      <c r="O11" s="2"/>
      <c r="P11" s="2"/>
      <c r="Q11" s="2"/>
      <c r="R11" s="2"/>
      <c r="S11" s="2"/>
      <c r="T11" s="2"/>
      <c r="U11" s="2"/>
      <c r="V11" s="2"/>
      <c r="W11" s="2"/>
      <c r="X11" s="2"/>
      <c r="Y11" s="2"/>
      <c r="Z11" s="2"/>
    </row>
    <row r="12" spans="1:26" ht="15.75" customHeight="1">
      <c r="A12" s="2"/>
      <c r="B12" s="2"/>
      <c r="C12" s="2"/>
      <c r="D12" s="2"/>
      <c r="E12" s="2"/>
      <c r="F12" s="2"/>
      <c r="G12" s="2"/>
      <c r="H12" s="2"/>
      <c r="I12" s="2"/>
      <c r="J12" s="2"/>
      <c r="K12" s="2"/>
      <c r="L12" s="2"/>
      <c r="M12" s="2"/>
      <c r="N12" s="2"/>
      <c r="O12" s="2"/>
      <c r="P12" s="2"/>
      <c r="Q12" s="2"/>
      <c r="R12" s="2"/>
      <c r="S12" s="2"/>
      <c r="T12" s="2"/>
      <c r="U12" s="2"/>
      <c r="V12" s="2"/>
      <c r="W12" s="2"/>
      <c r="X12" s="2"/>
      <c r="Y12" s="2"/>
      <c r="Z12" s="2"/>
    </row>
    <row r="13" spans="1:26" ht="15.75" customHeight="1">
      <c r="A13" s="2"/>
      <c r="B13" s="2"/>
      <c r="C13" s="2"/>
      <c r="D13" s="2"/>
      <c r="E13" s="2"/>
      <c r="F13" s="2"/>
      <c r="G13" s="2"/>
      <c r="H13" s="2"/>
      <c r="I13" s="2"/>
      <c r="J13" s="2"/>
      <c r="K13" s="2"/>
      <c r="L13" s="2"/>
      <c r="M13" s="2"/>
      <c r="N13" s="2"/>
      <c r="O13" s="2"/>
      <c r="P13" s="2"/>
      <c r="Q13" s="2"/>
      <c r="R13" s="2"/>
      <c r="S13" s="2"/>
      <c r="T13" s="2"/>
      <c r="U13" s="2"/>
      <c r="V13" s="2"/>
      <c r="W13" s="2"/>
      <c r="X13" s="2"/>
      <c r="Y13" s="2"/>
      <c r="Z13" s="2"/>
    </row>
    <row r="14" spans="1:26" ht="14.25" customHeight="1">
      <c r="A14" s="10"/>
      <c r="B14" s="10"/>
      <c r="C14" s="10"/>
      <c r="D14" s="11" t="s">
        <v>7</v>
      </c>
      <c r="E14" s="12" t="s">
        <v>8</v>
      </c>
      <c r="F14" s="10"/>
      <c r="G14" s="10"/>
      <c r="H14" s="10"/>
      <c r="I14" s="10"/>
      <c r="J14" s="10"/>
      <c r="K14" s="10"/>
      <c r="L14" s="10"/>
      <c r="M14" s="10"/>
      <c r="N14" s="10"/>
      <c r="O14" s="10"/>
      <c r="P14" s="10"/>
      <c r="Q14" s="10"/>
      <c r="R14" s="10"/>
      <c r="S14" s="10"/>
      <c r="T14" s="10"/>
      <c r="U14" s="10"/>
      <c r="V14" s="10"/>
      <c r="W14" s="10"/>
      <c r="X14" s="10"/>
      <c r="Y14" s="10"/>
      <c r="Z14" s="10"/>
    </row>
    <row r="15" spans="1:26" ht="15.75" customHeight="1">
      <c r="A15" s="10"/>
      <c r="B15" s="10"/>
      <c r="C15" s="10"/>
      <c r="D15" s="10"/>
      <c r="E15" s="12" t="s">
        <v>9</v>
      </c>
      <c r="F15" s="10"/>
      <c r="G15" s="10"/>
      <c r="H15" s="10"/>
      <c r="I15" s="10"/>
      <c r="J15" s="10"/>
      <c r="K15" s="10"/>
      <c r="L15" s="10"/>
      <c r="M15" s="10"/>
      <c r="N15" s="10"/>
      <c r="O15" s="10"/>
      <c r="P15" s="10"/>
      <c r="Q15" s="10"/>
      <c r="R15" s="10"/>
      <c r="S15" s="10"/>
      <c r="T15" s="10"/>
      <c r="U15" s="10"/>
      <c r="V15" s="10"/>
      <c r="W15" s="10"/>
      <c r="X15" s="10"/>
      <c r="Y15" s="10"/>
      <c r="Z15" s="10"/>
    </row>
    <row r="16" spans="1:26" ht="15.75" customHeight="1">
      <c r="A16" s="10"/>
      <c r="B16" s="10"/>
      <c r="C16" s="10"/>
      <c r="D16" s="10"/>
      <c r="E16" s="12" t="s">
        <v>10</v>
      </c>
      <c r="F16" s="10"/>
      <c r="G16" s="10"/>
      <c r="H16" s="10"/>
      <c r="I16" s="10"/>
      <c r="J16" s="10"/>
      <c r="K16" s="10"/>
      <c r="L16" s="10"/>
      <c r="M16" s="10"/>
      <c r="N16" s="10"/>
      <c r="O16" s="10"/>
      <c r="P16" s="10"/>
      <c r="Q16" s="10"/>
      <c r="R16" s="10"/>
      <c r="S16" s="10"/>
      <c r="T16" s="10"/>
      <c r="U16" s="10"/>
      <c r="V16" s="10"/>
      <c r="W16" s="10"/>
      <c r="X16" s="10"/>
      <c r="Y16" s="10"/>
      <c r="Z16" s="10"/>
    </row>
    <row r="17" spans="1:26" ht="15.75" customHeight="1">
      <c r="A17" s="10"/>
      <c r="B17" s="10"/>
      <c r="C17" s="10"/>
      <c r="D17" s="10"/>
      <c r="E17" s="12" t="s">
        <v>11</v>
      </c>
      <c r="F17" s="10"/>
      <c r="G17" s="10"/>
      <c r="H17" s="10"/>
      <c r="I17" s="10"/>
      <c r="J17" s="10"/>
      <c r="K17" s="10"/>
      <c r="L17" s="10"/>
      <c r="M17" s="10"/>
      <c r="N17" s="10"/>
      <c r="O17" s="10"/>
      <c r="P17" s="10"/>
      <c r="Q17" s="10"/>
      <c r="R17" s="10"/>
      <c r="S17" s="10"/>
      <c r="T17" s="10"/>
      <c r="U17" s="10"/>
      <c r="V17" s="10"/>
      <c r="W17" s="10"/>
      <c r="X17" s="10"/>
      <c r="Y17" s="10"/>
      <c r="Z17" s="10"/>
    </row>
    <row r="18" spans="1:26" ht="15.75" customHeight="1">
      <c r="A18" s="10"/>
      <c r="B18" s="10"/>
      <c r="C18" s="10"/>
      <c r="D18" s="10"/>
      <c r="E18" s="12" t="s">
        <v>12</v>
      </c>
      <c r="F18" s="10"/>
      <c r="G18" s="10"/>
      <c r="H18" s="10"/>
      <c r="I18" s="10"/>
      <c r="J18" s="10"/>
      <c r="K18" s="10"/>
      <c r="L18" s="10"/>
      <c r="M18" s="10"/>
      <c r="N18" s="10"/>
      <c r="O18" s="10"/>
      <c r="P18" s="10"/>
      <c r="Q18" s="10"/>
      <c r="R18" s="10"/>
      <c r="S18" s="10"/>
      <c r="T18" s="10"/>
      <c r="U18" s="10"/>
      <c r="V18" s="10"/>
      <c r="W18" s="10"/>
      <c r="X18" s="10"/>
      <c r="Y18" s="10"/>
      <c r="Z18" s="10"/>
    </row>
    <row r="19" spans="1:26" ht="15.75"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row>
    <row r="20" spans="1:26" ht="15.75"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row>
    <row r="21" spans="1:26" ht="15.75" customHeight="1">
      <c r="A21" s="10"/>
      <c r="B21" s="10"/>
      <c r="C21" s="10"/>
      <c r="D21" s="10" t="s">
        <v>13</v>
      </c>
      <c r="E21" s="13" t="s">
        <v>14</v>
      </c>
      <c r="F21" s="10"/>
      <c r="G21" s="10"/>
      <c r="H21" s="10"/>
      <c r="I21" s="10"/>
      <c r="J21" s="10"/>
      <c r="K21" s="10"/>
      <c r="L21" s="10"/>
      <c r="M21" s="10"/>
      <c r="N21" s="10"/>
      <c r="O21" s="10"/>
      <c r="P21" s="10"/>
      <c r="Q21" s="10"/>
      <c r="R21" s="10"/>
      <c r="S21" s="10"/>
      <c r="T21" s="10"/>
      <c r="U21" s="10"/>
      <c r="V21" s="10"/>
      <c r="W21" s="10"/>
      <c r="X21" s="10"/>
      <c r="Y21" s="10"/>
      <c r="Z21" s="10"/>
    </row>
    <row r="22" spans="1:26" ht="15.75" customHeight="1">
      <c r="A22" s="10"/>
      <c r="B22" s="10"/>
      <c r="C22" s="10"/>
      <c r="D22" s="10"/>
      <c r="E22" s="13" t="s">
        <v>15</v>
      </c>
      <c r="F22" s="10"/>
      <c r="G22" s="10"/>
      <c r="H22" s="10"/>
      <c r="I22" s="10"/>
      <c r="J22" s="10"/>
      <c r="K22" s="10"/>
      <c r="L22" s="10"/>
      <c r="M22" s="10"/>
      <c r="N22" s="10"/>
      <c r="O22" s="10"/>
      <c r="P22" s="10"/>
      <c r="Q22" s="10"/>
      <c r="R22" s="10"/>
      <c r="S22" s="10"/>
      <c r="T22" s="10"/>
      <c r="U22" s="10"/>
      <c r="V22" s="10"/>
      <c r="W22" s="10"/>
      <c r="X22" s="10"/>
      <c r="Y22" s="10"/>
      <c r="Z22" s="10"/>
    </row>
    <row r="23" spans="1:26" ht="15.75" customHeight="1">
      <c r="A23" s="10"/>
      <c r="B23" s="10"/>
      <c r="C23" s="10"/>
      <c r="D23" s="10"/>
      <c r="E23" s="13" t="s">
        <v>16</v>
      </c>
      <c r="F23" s="10"/>
      <c r="G23" s="10"/>
      <c r="H23" s="10"/>
      <c r="I23" s="10"/>
      <c r="J23" s="10"/>
      <c r="K23" s="10"/>
      <c r="L23" s="10"/>
      <c r="M23" s="10"/>
      <c r="N23" s="10"/>
      <c r="O23" s="10"/>
      <c r="P23" s="10"/>
      <c r="Q23" s="10"/>
      <c r="R23" s="10"/>
      <c r="S23" s="10"/>
      <c r="T23" s="10"/>
      <c r="U23" s="10"/>
      <c r="V23" s="10"/>
      <c r="W23" s="10"/>
      <c r="X23" s="10"/>
      <c r="Y23" s="10"/>
      <c r="Z23" s="10"/>
    </row>
    <row r="24" spans="1:26" ht="15.75" customHeight="1">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row>
    <row r="25" spans="1:26" ht="15.75" customHeight="1">
      <c r="A25" s="10"/>
      <c r="B25" s="10"/>
      <c r="C25" s="10"/>
      <c r="D25" s="10"/>
      <c r="E25" s="12" t="s">
        <v>17</v>
      </c>
      <c r="F25" s="10"/>
      <c r="G25" s="10"/>
      <c r="H25" s="10"/>
      <c r="I25" s="10"/>
      <c r="J25" s="10"/>
      <c r="K25" s="10"/>
      <c r="L25" s="10"/>
      <c r="M25" s="10"/>
      <c r="N25" s="10"/>
      <c r="O25" s="10"/>
      <c r="P25" s="10"/>
      <c r="Q25" s="10"/>
      <c r="R25" s="10"/>
      <c r="S25" s="10"/>
      <c r="T25" s="10"/>
      <c r="U25" s="10"/>
      <c r="V25" s="10"/>
      <c r="W25" s="10"/>
      <c r="X25" s="10"/>
      <c r="Y25" s="10"/>
      <c r="Z25" s="10"/>
    </row>
    <row r="26" spans="1:26" ht="15.75"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row>
    <row r="27" spans="1:26" ht="15.75" customHeight="1">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row>
    <row r="28" spans="1:26" ht="15.75"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row>
    <row r="29" spans="1:26" ht="15.75"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row>
    <row r="30" spans="1:26" ht="15.75"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row>
    <row r="31" spans="1:26" ht="15.75" customHeight="1">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row>
    <row r="32" spans="1:26" ht="15.75" customHeight="1">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row>
    <row r="33" spans="1:26"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4.2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4.2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4.2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4.2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4.2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4.2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4.2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4.2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4.2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4.2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4.2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4.2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4.2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4.2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4.2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4.2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4.2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4.2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4.2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4.2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4.2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4.2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4.2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4.2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4.2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4.2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4.2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4.2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4.2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4.2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4.2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4.2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4.2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4.2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4.2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4.2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4.2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4.2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4.2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4.2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4.2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4.2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4.2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4.2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4.2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4.2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4.2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4.2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4.2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4.2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4.2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4.2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4.2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4.2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4.2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4.2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4.2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4.2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4.2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4.2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4.2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4.2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4.2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4.2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4.2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4.2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4.2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4.2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4.2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4.2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4.2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4.2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4.2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4.2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4.2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4.2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4.2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4.2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4.2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4.2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4.2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4.2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4.2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4.2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4.2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4.2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4.2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4.2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4.2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4.2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4.2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4.2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4.2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4.2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4.2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4.2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4.2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4.2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4.2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4.2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4.2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4.2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4.2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4.2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4.2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4.2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4.2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4.2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4.2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4.2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4.2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4.2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4.2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4.2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4.2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4.2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4.2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4.2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4.2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4.2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4.2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4.2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4.2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4.2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4.2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4.2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4.2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4.2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4.2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4.2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4.2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4.2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4.2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4.2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4.2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4.2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4.2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4.2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4.2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4.2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4.2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4.2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4.2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4.2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4.2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4.2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4.2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4.2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4.2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4.2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4.2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4.2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4.2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4.2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4.2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4.2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4.2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4.2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4.2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4.2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4.2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4.2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4.2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4.2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4.2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4.2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4.2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4.2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4.2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4.2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4.2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4.2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4.2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4.2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4.2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4.2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4.2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4.2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4.2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4.2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4.2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4.2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4.2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4.2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4.2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4.2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4.2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4.2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4.2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4.2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4.2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4.2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4.2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4.2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4.2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4.2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4.2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4.2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4.2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4.2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4.2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4.2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4.2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4.2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4.2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4.2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4.2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4.2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4.2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4.2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4.2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4.2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4.2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4.2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4.2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4.2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4.2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4.2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4.2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4.2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4.2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4.2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4.2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4.2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4.2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4.2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4.2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4.2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4.2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4.2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4.2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4.2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4.2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4.2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4.2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4.2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4.2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4.2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4.2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4.2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4.2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4.2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4.2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4.2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4.2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4.2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4.2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4.2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4.2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4.2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4.2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4.2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4.2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4.2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4.2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4.2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4.2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4.2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4.2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4.2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4.2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4.2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4.2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4.2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4.2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4.2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4.2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4.2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4.2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4.2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4.2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4.2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4.2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4.2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4.2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4.2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4.2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4.2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4.2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4.2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4.2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4.2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4.2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4.2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4.2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4.2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4.2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4.2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4.2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4.2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4.2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4.2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4.2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4.2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4.2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4.2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4.2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4.2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4.2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4.2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4.2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4.2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4.2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4.2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4.2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4.2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4.2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4.2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4.2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4.2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4.2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4.2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4.2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4.2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4.2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4.2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4.2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4.2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4.2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4.2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4.2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4.2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4.2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4.2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4.2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4.2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4.2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4.2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4.2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4.2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4.2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4.2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4.2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4.2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4.2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4.2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4.2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4.2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4.2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4.2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4.2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4.2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4.2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4.2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4.2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4.2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4.2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4.2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4.2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4.2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4.2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4.2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4.2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4.2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4.2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4.2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4.2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4.2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4.2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4.2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4.2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4.2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4.2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4.2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4.2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4.2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4.2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4.2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4.2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4.2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4.2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4.2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4.2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4.2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4.2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4.2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4.2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4.2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4.2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4.2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4.2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4.2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4.2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4.2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4.2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4.2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4.2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4.2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4.2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4.2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4.2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4.2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4.2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4.2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4.2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4.2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4.2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4.2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4.2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4.2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4.2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4.2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4.2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4.2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4.2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4.2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4.2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4.2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4.2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4.2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4.2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4.2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4.2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4.2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4.2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4.2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4.2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4.2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4.2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4.2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4.2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4.2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4.2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4.2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4.2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4.2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4.2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4.2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4.2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4.2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4.2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4.2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4.2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4.2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4.2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4.2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4.2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4.2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4.2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4.2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4.2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4.2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4.2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4.2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4.2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4.2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4.2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4.2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4.2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4.2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4.2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4.2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4.2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4.2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4.2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4.2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4.2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4.2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4.2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4.2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4.2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4.2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4.2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4.2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4.2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4.2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4.2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4.2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4.2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4.2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4.2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4.2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4.2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4.2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4.2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4.2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4.2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4.2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4.2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4.2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4.2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4.2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4.2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4.2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4.2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4.2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4.2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4.2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4.2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4.2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4.2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4.2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4.2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4.2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4.2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4.2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4.2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4.2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4.2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4.2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4.2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4.2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4.2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4.2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4.2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4.2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4.2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4.2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4.2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4.2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4.2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4.2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4.2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4.2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4.2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4.2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4.2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4.2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4.2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4.2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4.2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4.2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4.2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4.2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4.2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4.2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4.2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4.2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4.2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4.2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4.2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4.2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4.2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4.2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4.2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4.2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4.2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4.2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4.2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4.2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4.2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4.2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4.2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4.2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4.2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4.2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4.2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4.2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4.2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4.2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4.2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4.2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4.2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4.2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4.2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4.2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4.2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4.2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4.2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4.2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4.2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4.2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4.2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4.2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4.2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4.2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4.2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4.2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4.2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4.2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4.2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4.2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4.2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4.2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4.2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4.2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4.2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4.2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4.2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4.2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4.2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4.2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4.2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4.2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4.2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4.2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4.2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4.2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4.2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4.2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4.2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4.2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4.2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4.2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4.2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4.2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4.2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4.2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4.2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4.2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4.2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4.2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4.2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4.2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4.2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4.2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4.2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4.2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4.2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4.2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4.2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4.2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4.2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4.2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4.2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4.2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4.2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4.2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4.2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4.2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4.2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4.2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4.2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4.2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4.2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4.2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4.2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4.2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4.2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4.2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4.2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4.2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4.2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4.2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4.2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4.2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4.2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4.2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4.2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4.2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4.2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4.2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4.2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4.2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4.2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4.2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4.2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4.2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4.2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4.2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4.2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4.2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4.2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4.2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4.2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4.2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4.2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4.2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4.2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4.2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4.2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4.2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4.2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4.2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4.2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4.2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4.2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4.2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4.2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4.2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4.2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4.2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4.2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4.2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4.2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4.2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4.2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4.2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4.2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4.2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4.2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4.2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4.2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4.2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4.2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4.2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4.2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4.2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4.2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4.2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4.2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4.2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4.2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4.2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4.2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4.2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4.2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4.2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4.2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4.2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4.2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4.2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4.2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4.2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4.2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4.2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4.2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4.2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4.2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4.2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4.2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4.2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4.2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4.2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4.2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4.2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4.2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4.2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4.2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4.2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4.2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4.2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4.2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4.2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4.2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4.2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4.2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4.2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4.2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4.2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4.2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4.2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4.2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4.2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4.2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4.2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4.2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4.2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4.2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4.2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4.2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4.2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4.2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4.2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4.2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4.2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4.2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4.2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4.2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4.2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4.2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4.2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4.2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4.2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4.2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4.2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4.2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4.2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4.2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4.2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4.2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4.2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4.2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4.2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4.2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4.2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4.2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4.2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4.2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4.2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4.2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4.2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4.2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4.2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4.2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honeticPr fontId="34" type="noConversion"/>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91"/>
  <sheetViews>
    <sheetView tabSelected="1" workbookViewId="0">
      <pane xSplit="5" ySplit="1" topLeftCell="F71" activePane="bottomRight" state="frozen"/>
      <selection pane="topRight" activeCell="F1" sqref="F1"/>
      <selection pane="bottomLeft" activeCell="A2" sqref="A2"/>
      <selection pane="bottomRight" activeCell="E72" sqref="E72"/>
    </sheetView>
  </sheetViews>
  <sheetFormatPr defaultColWidth="14.42578125" defaultRowHeight="15" customHeight="1"/>
  <cols>
    <col min="1" max="1" width="20.7109375" customWidth="1"/>
    <col min="2" max="2" width="18.42578125" customWidth="1"/>
    <col min="3" max="3" width="30" customWidth="1"/>
    <col min="4" max="4" width="12" customWidth="1"/>
    <col min="5" max="5" width="62.42578125" customWidth="1"/>
    <col min="6" max="6" width="12.85546875" customWidth="1"/>
    <col min="7" max="7" width="67.140625" customWidth="1"/>
    <col min="8" max="8" width="83" hidden="1" customWidth="1"/>
    <col min="9" max="11" width="83" customWidth="1"/>
    <col min="12" max="12" width="18.28515625" customWidth="1"/>
    <col min="13" max="13" width="6.85546875" customWidth="1"/>
  </cols>
  <sheetData>
    <row r="1" spans="1:13" ht="16.5">
      <c r="A1" s="14" t="s">
        <v>18</v>
      </c>
      <c r="B1" s="14" t="s">
        <v>19</v>
      </c>
      <c r="C1" s="14" t="s">
        <v>20</v>
      </c>
      <c r="D1" s="14" t="s">
        <v>21</v>
      </c>
      <c r="E1" s="14" t="s">
        <v>22</v>
      </c>
      <c r="F1" s="14" t="s">
        <v>23</v>
      </c>
      <c r="G1" s="14" t="s">
        <v>24</v>
      </c>
      <c r="H1" s="15" t="s">
        <v>25</v>
      </c>
      <c r="I1" s="14" t="s">
        <v>26</v>
      </c>
      <c r="J1" s="14" t="s">
        <v>27</v>
      </c>
      <c r="K1" s="14" t="s">
        <v>28</v>
      </c>
      <c r="L1" s="15" t="s">
        <v>29</v>
      </c>
      <c r="M1" s="16"/>
    </row>
    <row r="2" spans="1:13" ht="28.5">
      <c r="A2" s="17" t="s">
        <v>30</v>
      </c>
      <c r="B2" s="17" t="s">
        <v>31</v>
      </c>
      <c r="C2" s="17" t="s">
        <v>32</v>
      </c>
      <c r="D2" s="18" t="s">
        <v>33</v>
      </c>
      <c r="E2" s="17" t="s">
        <v>34</v>
      </c>
      <c r="F2" s="18"/>
      <c r="G2" s="108"/>
      <c r="H2" s="19" t="s">
        <v>35</v>
      </c>
      <c r="I2" s="19" t="s">
        <v>36</v>
      </c>
      <c r="J2" s="20" t="s">
        <v>33</v>
      </c>
      <c r="K2" s="20" t="s">
        <v>33</v>
      </c>
      <c r="L2" s="21"/>
      <c r="M2" s="22"/>
    </row>
    <row r="3" spans="1:13" ht="28.5">
      <c r="A3" s="17" t="s">
        <v>30</v>
      </c>
      <c r="B3" s="17" t="s">
        <v>31</v>
      </c>
      <c r="C3" s="17" t="s">
        <v>37</v>
      </c>
      <c r="D3" s="18" t="s">
        <v>33</v>
      </c>
      <c r="E3" s="17" t="s">
        <v>38</v>
      </c>
      <c r="F3" s="18"/>
      <c r="G3" s="19"/>
      <c r="H3" s="19" t="s">
        <v>39</v>
      </c>
      <c r="I3" s="19" t="s">
        <v>40</v>
      </c>
      <c r="J3" s="20" t="s">
        <v>33</v>
      </c>
      <c r="K3" s="20" t="s">
        <v>33</v>
      </c>
      <c r="L3" s="21"/>
      <c r="M3" s="22"/>
    </row>
    <row r="4" spans="1:13" ht="28.5">
      <c r="A4" s="17" t="s">
        <v>30</v>
      </c>
      <c r="B4" s="17" t="s">
        <v>31</v>
      </c>
      <c r="C4" s="17" t="s">
        <v>41</v>
      </c>
      <c r="D4" s="18" t="s">
        <v>33</v>
      </c>
      <c r="E4" s="17" t="s">
        <v>42</v>
      </c>
      <c r="F4" s="18"/>
      <c r="G4" s="19"/>
      <c r="H4" s="19" t="s">
        <v>43</v>
      </c>
      <c r="I4" s="19" t="s">
        <v>44</v>
      </c>
      <c r="J4" s="20" t="s">
        <v>33</v>
      </c>
      <c r="K4" s="20" t="s">
        <v>33</v>
      </c>
      <c r="L4" s="21"/>
      <c r="M4" s="22"/>
    </row>
    <row r="5" spans="1:13" ht="71.25">
      <c r="A5" s="23" t="s">
        <v>30</v>
      </c>
      <c r="B5" s="23" t="s">
        <v>31</v>
      </c>
      <c r="C5" s="17" t="s">
        <v>45</v>
      </c>
      <c r="D5" s="18" t="s">
        <v>33</v>
      </c>
      <c r="E5" s="23" t="s">
        <v>46</v>
      </c>
      <c r="F5" s="18"/>
      <c r="G5" s="19"/>
      <c r="H5" s="19" t="s">
        <v>47</v>
      </c>
      <c r="I5" s="19" t="s">
        <v>48</v>
      </c>
      <c r="J5" s="20" t="s">
        <v>33</v>
      </c>
      <c r="K5" s="20" t="s">
        <v>33</v>
      </c>
      <c r="L5" s="21"/>
      <c r="M5" s="22"/>
    </row>
    <row r="6" spans="1:13" ht="85.5">
      <c r="A6" s="23" t="s">
        <v>30</v>
      </c>
      <c r="B6" s="23" t="s">
        <v>31</v>
      </c>
      <c r="C6" s="17" t="s">
        <v>49</v>
      </c>
      <c r="D6" s="18" t="s">
        <v>33</v>
      </c>
      <c r="E6" s="23" t="s">
        <v>50</v>
      </c>
      <c r="F6" s="18"/>
      <c r="G6" s="24"/>
      <c r="H6" s="24" t="s">
        <v>51</v>
      </c>
      <c r="I6" s="24" t="s">
        <v>52</v>
      </c>
      <c r="J6" s="20" t="s">
        <v>33</v>
      </c>
      <c r="K6" s="20" t="s">
        <v>33</v>
      </c>
      <c r="L6" s="21"/>
      <c r="M6" s="22"/>
    </row>
    <row r="7" spans="1:13" ht="28.5">
      <c r="A7" s="23" t="s">
        <v>30</v>
      </c>
      <c r="B7" s="23" t="s">
        <v>31</v>
      </c>
      <c r="C7" s="17" t="s">
        <v>53</v>
      </c>
      <c r="D7" s="18" t="s">
        <v>33</v>
      </c>
      <c r="E7" s="23" t="s">
        <v>54</v>
      </c>
      <c r="F7" s="18"/>
      <c r="G7" s="24"/>
      <c r="H7" s="24" t="s">
        <v>55</v>
      </c>
      <c r="I7" s="24" t="s">
        <v>56</v>
      </c>
      <c r="J7" s="20" t="s">
        <v>33</v>
      </c>
      <c r="K7" s="20" t="s">
        <v>33</v>
      </c>
      <c r="L7" s="21"/>
      <c r="M7" s="22"/>
    </row>
    <row r="8" spans="1:13" ht="28.5">
      <c r="A8" s="23" t="s">
        <v>30</v>
      </c>
      <c r="B8" s="23" t="s">
        <v>31</v>
      </c>
      <c r="C8" s="17" t="s">
        <v>57</v>
      </c>
      <c r="D8" s="18" t="s">
        <v>33</v>
      </c>
      <c r="E8" s="23" t="s">
        <v>58</v>
      </c>
      <c r="F8" s="18"/>
      <c r="G8" s="25"/>
      <c r="H8" s="24" t="s">
        <v>59</v>
      </c>
      <c r="I8" s="24" t="s">
        <v>60</v>
      </c>
      <c r="J8" s="20" t="s">
        <v>33</v>
      </c>
      <c r="K8" s="20" t="s">
        <v>33</v>
      </c>
      <c r="L8" s="21"/>
      <c r="M8" s="26"/>
    </row>
    <row r="9" spans="1:13" ht="28.5">
      <c r="A9" s="23" t="s">
        <v>30</v>
      </c>
      <c r="B9" s="23" t="s">
        <v>31</v>
      </c>
      <c r="C9" s="17" t="s">
        <v>61</v>
      </c>
      <c r="D9" s="18" t="s">
        <v>33</v>
      </c>
      <c r="E9" s="23" t="s">
        <v>62</v>
      </c>
      <c r="F9" s="18"/>
      <c r="G9" s="24"/>
      <c r="H9" s="24" t="s">
        <v>63</v>
      </c>
      <c r="I9" s="24" t="s">
        <v>64</v>
      </c>
      <c r="J9" s="20" t="s">
        <v>33</v>
      </c>
      <c r="K9" s="20" t="s">
        <v>33</v>
      </c>
      <c r="L9" s="21"/>
      <c r="M9" s="26"/>
    </row>
    <row r="10" spans="1:13" ht="28.5">
      <c r="A10" s="23" t="s">
        <v>30</v>
      </c>
      <c r="B10" s="23" t="s">
        <v>31</v>
      </c>
      <c r="C10" s="17" t="s">
        <v>65</v>
      </c>
      <c r="D10" s="18" t="s">
        <v>33</v>
      </c>
      <c r="E10" s="17" t="s">
        <v>66</v>
      </c>
      <c r="F10" s="18"/>
      <c r="G10" s="24"/>
      <c r="H10" s="24" t="s">
        <v>67</v>
      </c>
      <c r="I10" s="24" t="s">
        <v>68</v>
      </c>
      <c r="J10" s="20" t="s">
        <v>33</v>
      </c>
      <c r="K10" s="20" t="s">
        <v>33</v>
      </c>
      <c r="L10" s="21"/>
      <c r="M10" s="26"/>
    </row>
    <row r="11" spans="1:13" ht="57">
      <c r="A11" s="23" t="s">
        <v>30</v>
      </c>
      <c r="B11" s="23" t="s">
        <v>31</v>
      </c>
      <c r="C11" s="17" t="s">
        <v>69</v>
      </c>
      <c r="D11" s="18" t="s">
        <v>33</v>
      </c>
      <c r="E11" s="17" t="s">
        <v>70</v>
      </c>
      <c r="F11" s="18"/>
      <c r="G11" s="24"/>
      <c r="H11" s="24" t="s">
        <v>71</v>
      </c>
      <c r="I11" s="24" t="s">
        <v>72</v>
      </c>
      <c r="J11" s="20" t="s">
        <v>33</v>
      </c>
      <c r="K11" s="20" t="s">
        <v>33</v>
      </c>
      <c r="L11" s="21"/>
      <c r="M11" s="26"/>
    </row>
    <row r="12" spans="1:13" ht="28.5">
      <c r="A12" s="23" t="s">
        <v>30</v>
      </c>
      <c r="B12" s="23" t="s">
        <v>31</v>
      </c>
      <c r="C12" s="17" t="s">
        <v>73</v>
      </c>
      <c r="D12" s="18" t="s">
        <v>33</v>
      </c>
      <c r="E12" s="17" t="s">
        <v>74</v>
      </c>
      <c r="F12" s="18"/>
      <c r="G12" s="24"/>
      <c r="H12" s="24" t="s">
        <v>75</v>
      </c>
      <c r="I12" s="24" t="s">
        <v>76</v>
      </c>
      <c r="J12" s="20" t="s">
        <v>33</v>
      </c>
      <c r="K12" s="20" t="s">
        <v>33</v>
      </c>
      <c r="L12" s="21"/>
      <c r="M12" s="26"/>
    </row>
    <row r="13" spans="1:13" ht="28.5">
      <c r="A13" s="23" t="s">
        <v>30</v>
      </c>
      <c r="B13" s="23" t="s">
        <v>31</v>
      </c>
      <c r="C13" s="17" t="s">
        <v>77</v>
      </c>
      <c r="D13" s="18" t="s">
        <v>33</v>
      </c>
      <c r="E13" s="17" t="s">
        <v>78</v>
      </c>
      <c r="F13" s="18"/>
      <c r="G13" s="24"/>
      <c r="H13" s="24" t="s">
        <v>79</v>
      </c>
      <c r="I13" s="24" t="s">
        <v>80</v>
      </c>
      <c r="J13" s="20" t="s">
        <v>33</v>
      </c>
      <c r="K13" s="20" t="s">
        <v>33</v>
      </c>
      <c r="L13" s="21"/>
      <c r="M13" s="26"/>
    </row>
    <row r="14" spans="1:13" ht="28.5">
      <c r="A14" s="23" t="s">
        <v>30</v>
      </c>
      <c r="B14" s="23" t="s">
        <v>31</v>
      </c>
      <c r="C14" s="17" t="s">
        <v>81</v>
      </c>
      <c r="D14" s="18" t="s">
        <v>33</v>
      </c>
      <c r="E14" s="17" t="s">
        <v>82</v>
      </c>
      <c r="F14" s="18"/>
      <c r="G14" s="24"/>
      <c r="H14" s="24" t="s">
        <v>83</v>
      </c>
      <c r="I14" s="24" t="s">
        <v>84</v>
      </c>
      <c r="J14" s="20" t="s">
        <v>33</v>
      </c>
      <c r="K14" s="20" t="s">
        <v>33</v>
      </c>
      <c r="L14" s="21"/>
      <c r="M14" s="26"/>
    </row>
    <row r="15" spans="1:13" ht="42.75">
      <c r="A15" s="23" t="s">
        <v>30</v>
      </c>
      <c r="B15" s="23" t="s">
        <v>31</v>
      </c>
      <c r="C15" s="17" t="s">
        <v>85</v>
      </c>
      <c r="D15" s="18" t="s">
        <v>33</v>
      </c>
      <c r="E15" s="17" t="s">
        <v>86</v>
      </c>
      <c r="F15" s="18"/>
      <c r="G15" s="24"/>
      <c r="H15" s="24" t="s">
        <v>87</v>
      </c>
      <c r="I15" s="24" t="s">
        <v>88</v>
      </c>
      <c r="J15" s="20" t="s">
        <v>33</v>
      </c>
      <c r="K15" s="20" t="s">
        <v>33</v>
      </c>
      <c r="L15" s="21"/>
      <c r="M15" s="26"/>
    </row>
    <row r="16" spans="1:13" ht="71.25">
      <c r="A16" s="27" t="s">
        <v>30</v>
      </c>
      <c r="B16" s="27" t="s">
        <v>31</v>
      </c>
      <c r="C16" s="28" t="s">
        <v>89</v>
      </c>
      <c r="D16" s="29" t="s">
        <v>33</v>
      </c>
      <c r="E16" s="28" t="s">
        <v>90</v>
      </c>
      <c r="F16" s="18"/>
      <c r="G16" s="30"/>
      <c r="H16" s="30" t="s">
        <v>91</v>
      </c>
      <c r="I16" s="30" t="s">
        <v>92</v>
      </c>
      <c r="J16" s="20" t="s">
        <v>33</v>
      </c>
      <c r="K16" s="20" t="s">
        <v>33</v>
      </c>
      <c r="L16" s="21"/>
      <c r="M16" s="26"/>
    </row>
    <row r="17" spans="1:13" ht="85.5">
      <c r="A17" s="23" t="s">
        <v>93</v>
      </c>
      <c r="B17" s="27" t="s">
        <v>31</v>
      </c>
      <c r="C17" s="17" t="s">
        <v>94</v>
      </c>
      <c r="D17" s="29" t="s">
        <v>33</v>
      </c>
      <c r="E17" s="23" t="s">
        <v>95</v>
      </c>
      <c r="F17" s="18"/>
      <c r="G17" s="31"/>
      <c r="H17" s="31" t="s">
        <v>96</v>
      </c>
      <c r="I17" s="31" t="s">
        <v>97</v>
      </c>
      <c r="J17" s="20" t="s">
        <v>33</v>
      </c>
      <c r="K17" s="20" t="s">
        <v>33</v>
      </c>
      <c r="L17" s="32"/>
      <c r="M17" s="33"/>
    </row>
    <row r="18" spans="1:13" ht="28.5">
      <c r="A18" s="23" t="s">
        <v>93</v>
      </c>
      <c r="B18" s="23" t="s">
        <v>31</v>
      </c>
      <c r="C18" s="17" t="s">
        <v>98</v>
      </c>
      <c r="D18" s="18" t="s">
        <v>33</v>
      </c>
      <c r="E18" s="17" t="s">
        <v>99</v>
      </c>
      <c r="F18" s="18"/>
      <c r="G18" s="24"/>
      <c r="H18" s="24" t="s">
        <v>100</v>
      </c>
      <c r="I18" s="24" t="s">
        <v>101</v>
      </c>
      <c r="J18" s="20" t="s">
        <v>33</v>
      </c>
      <c r="K18" s="20" t="s">
        <v>33</v>
      </c>
      <c r="L18" s="21"/>
      <c r="M18" s="21"/>
    </row>
    <row r="19" spans="1:13" ht="28.5">
      <c r="A19" s="34" t="s">
        <v>30</v>
      </c>
      <c r="B19" s="34" t="s">
        <v>31</v>
      </c>
      <c r="C19" s="35" t="s">
        <v>102</v>
      </c>
      <c r="D19" s="36" t="s">
        <v>33</v>
      </c>
      <c r="E19" s="35" t="s">
        <v>103</v>
      </c>
      <c r="F19" s="18"/>
      <c r="G19" s="37"/>
      <c r="H19" s="37" t="s">
        <v>104</v>
      </c>
      <c r="I19" s="37" t="s">
        <v>105</v>
      </c>
      <c r="J19" s="37" t="s">
        <v>33</v>
      </c>
      <c r="K19" s="37" t="s">
        <v>33</v>
      </c>
      <c r="L19" s="38"/>
      <c r="M19" s="39"/>
    </row>
    <row r="20" spans="1:13" ht="171">
      <c r="A20" s="40" t="s">
        <v>93</v>
      </c>
      <c r="B20" s="40" t="s">
        <v>106</v>
      </c>
      <c r="C20" s="28" t="s">
        <v>107</v>
      </c>
      <c r="D20" s="29" t="s">
        <v>108</v>
      </c>
      <c r="E20" s="28" t="s">
        <v>109</v>
      </c>
      <c r="F20" s="18"/>
      <c r="G20" s="20"/>
      <c r="H20" s="20" t="s">
        <v>110</v>
      </c>
      <c r="I20" s="20" t="s">
        <v>111</v>
      </c>
      <c r="J20" s="20" t="s">
        <v>33</v>
      </c>
      <c r="K20" s="20" t="s">
        <v>112</v>
      </c>
      <c r="L20" s="41"/>
      <c r="M20" s="26"/>
    </row>
    <row r="21" spans="1:13" ht="213.75">
      <c r="A21" s="23" t="s">
        <v>93</v>
      </c>
      <c r="B21" s="23" t="s">
        <v>106</v>
      </c>
      <c r="C21" s="17" t="s">
        <v>113</v>
      </c>
      <c r="D21" s="18" t="s">
        <v>108</v>
      </c>
      <c r="E21" s="17" t="s">
        <v>114</v>
      </c>
      <c r="F21" s="18"/>
      <c r="G21" s="24"/>
      <c r="H21" s="24" t="s">
        <v>115</v>
      </c>
      <c r="I21" s="24" t="s">
        <v>116</v>
      </c>
      <c r="J21" s="24" t="s">
        <v>117</v>
      </c>
      <c r="K21" s="24" t="s">
        <v>118</v>
      </c>
      <c r="L21" s="21"/>
      <c r="M21" s="26"/>
    </row>
    <row r="22" spans="1:13" ht="256.5">
      <c r="A22" s="23" t="s">
        <v>93</v>
      </c>
      <c r="B22" s="23" t="s">
        <v>106</v>
      </c>
      <c r="C22" s="17" t="s">
        <v>119</v>
      </c>
      <c r="D22" s="18" t="s">
        <v>108</v>
      </c>
      <c r="E22" s="17" t="s">
        <v>120</v>
      </c>
      <c r="F22" s="18"/>
      <c r="G22" s="24"/>
      <c r="H22" s="24" t="s">
        <v>121</v>
      </c>
      <c r="I22" s="24" t="s">
        <v>122</v>
      </c>
      <c r="J22" s="24" t="s">
        <v>123</v>
      </c>
      <c r="K22" s="24" t="s">
        <v>124</v>
      </c>
      <c r="L22" s="21"/>
      <c r="M22" s="26"/>
    </row>
    <row r="23" spans="1:13" ht="142.5">
      <c r="A23" s="23" t="s">
        <v>93</v>
      </c>
      <c r="B23" s="23" t="s">
        <v>106</v>
      </c>
      <c r="C23" s="17" t="s">
        <v>125</v>
      </c>
      <c r="D23" s="18" t="s">
        <v>108</v>
      </c>
      <c r="E23" s="17" t="s">
        <v>126</v>
      </c>
      <c r="F23" s="18"/>
      <c r="G23" s="24"/>
      <c r="H23" s="24" t="s">
        <v>127</v>
      </c>
      <c r="I23" s="24" t="s">
        <v>128</v>
      </c>
      <c r="J23" s="24" t="s">
        <v>33</v>
      </c>
      <c r="K23" s="24" t="s">
        <v>129</v>
      </c>
      <c r="L23" s="21"/>
      <c r="M23" s="26"/>
    </row>
    <row r="24" spans="1:13" ht="142.5">
      <c r="A24" s="23" t="s">
        <v>93</v>
      </c>
      <c r="B24" s="23" t="s">
        <v>130</v>
      </c>
      <c r="C24" s="17" t="s">
        <v>131</v>
      </c>
      <c r="D24" s="18" t="s">
        <v>108</v>
      </c>
      <c r="E24" s="17" t="s">
        <v>132</v>
      </c>
      <c r="F24" s="18"/>
      <c r="G24" s="24"/>
      <c r="H24" s="24" t="s">
        <v>133</v>
      </c>
      <c r="I24" s="24" t="s">
        <v>134</v>
      </c>
      <c r="J24" s="24" t="s">
        <v>33</v>
      </c>
      <c r="K24" s="24" t="s">
        <v>135</v>
      </c>
      <c r="L24" s="21"/>
      <c r="M24" s="26"/>
    </row>
    <row r="25" spans="1:13" ht="142.5">
      <c r="A25" s="23" t="s">
        <v>93</v>
      </c>
      <c r="B25" s="23" t="s">
        <v>136</v>
      </c>
      <c r="C25" s="17" t="s">
        <v>137</v>
      </c>
      <c r="D25" s="18" t="s">
        <v>108</v>
      </c>
      <c r="E25" s="17" t="s">
        <v>138</v>
      </c>
      <c r="F25" s="18"/>
      <c r="G25" s="31"/>
      <c r="H25" s="31" t="s">
        <v>139</v>
      </c>
      <c r="I25" s="31" t="s">
        <v>140</v>
      </c>
      <c r="J25" s="24" t="s">
        <v>33</v>
      </c>
      <c r="K25" s="31" t="s">
        <v>141</v>
      </c>
      <c r="L25" s="21"/>
      <c r="M25" s="26"/>
    </row>
    <row r="26" spans="1:13" ht="142.5">
      <c r="A26" s="23" t="s">
        <v>93</v>
      </c>
      <c r="B26" s="23" t="s">
        <v>142</v>
      </c>
      <c r="C26" s="17" t="s">
        <v>143</v>
      </c>
      <c r="D26" s="18" t="s">
        <v>108</v>
      </c>
      <c r="E26" s="17" t="s">
        <v>144</v>
      </c>
      <c r="F26" s="18"/>
      <c r="G26" s="31"/>
      <c r="H26" s="31" t="s">
        <v>145</v>
      </c>
      <c r="I26" s="31" t="s">
        <v>146</v>
      </c>
      <c r="J26" s="24" t="s">
        <v>33</v>
      </c>
      <c r="K26" s="31" t="s">
        <v>147</v>
      </c>
      <c r="L26" s="21"/>
      <c r="M26" s="26"/>
    </row>
    <row r="27" spans="1:13" ht="156.75">
      <c r="A27" s="23" t="s">
        <v>93</v>
      </c>
      <c r="B27" s="23" t="s">
        <v>148</v>
      </c>
      <c r="C27" s="17" t="s">
        <v>149</v>
      </c>
      <c r="D27" s="18" t="s">
        <v>108</v>
      </c>
      <c r="E27" s="17" t="s">
        <v>150</v>
      </c>
      <c r="F27" s="18"/>
      <c r="G27" s="31"/>
      <c r="H27" s="31" t="s">
        <v>151</v>
      </c>
      <c r="I27" s="31" t="s">
        <v>152</v>
      </c>
      <c r="J27" s="24" t="s">
        <v>33</v>
      </c>
      <c r="K27" s="31" t="s">
        <v>153</v>
      </c>
      <c r="L27" s="21"/>
      <c r="M27" s="26"/>
    </row>
    <row r="28" spans="1:13" ht="156.75">
      <c r="A28" s="23" t="s">
        <v>93</v>
      </c>
      <c r="B28" s="23" t="s">
        <v>154</v>
      </c>
      <c r="C28" s="17" t="s">
        <v>155</v>
      </c>
      <c r="D28" s="18" t="s">
        <v>108</v>
      </c>
      <c r="E28" s="17" t="s">
        <v>156</v>
      </c>
      <c r="F28" s="18"/>
      <c r="G28" s="31"/>
      <c r="H28" s="31" t="s">
        <v>157</v>
      </c>
      <c r="I28" s="31" t="s">
        <v>158</v>
      </c>
      <c r="J28" s="24" t="s">
        <v>33</v>
      </c>
      <c r="K28" s="31" t="s">
        <v>159</v>
      </c>
      <c r="L28" s="21"/>
      <c r="M28" s="26"/>
    </row>
    <row r="29" spans="1:13" ht="242.25">
      <c r="A29" s="23" t="s">
        <v>160</v>
      </c>
      <c r="B29" s="23" t="s">
        <v>154</v>
      </c>
      <c r="C29" s="17" t="s">
        <v>161</v>
      </c>
      <c r="D29" s="18" t="s">
        <v>162</v>
      </c>
      <c r="E29" s="17" t="s">
        <v>163</v>
      </c>
      <c r="F29" s="18"/>
      <c r="G29" s="31"/>
      <c r="H29" s="31" t="s">
        <v>164</v>
      </c>
      <c r="I29" s="31" t="s">
        <v>165</v>
      </c>
      <c r="J29" s="31" t="s">
        <v>166</v>
      </c>
      <c r="K29" s="31" t="s">
        <v>167</v>
      </c>
      <c r="L29" s="21"/>
      <c r="M29" s="26"/>
    </row>
    <row r="30" spans="1:13" ht="299.25">
      <c r="A30" s="23" t="s">
        <v>93</v>
      </c>
      <c r="B30" s="23" t="s">
        <v>154</v>
      </c>
      <c r="C30" s="17" t="s">
        <v>168</v>
      </c>
      <c r="D30" s="18" t="s">
        <v>162</v>
      </c>
      <c r="E30" s="17" t="s">
        <v>169</v>
      </c>
      <c r="F30" s="18"/>
      <c r="G30" s="31"/>
      <c r="H30" s="42" t="s">
        <v>170</v>
      </c>
      <c r="I30" s="31" t="s">
        <v>171</v>
      </c>
      <c r="J30" s="31" t="s">
        <v>172</v>
      </c>
      <c r="K30" s="31" t="s">
        <v>167</v>
      </c>
      <c r="L30" s="21"/>
      <c r="M30" s="26"/>
    </row>
    <row r="31" spans="1:13" ht="384.75">
      <c r="A31" s="23" t="s">
        <v>93</v>
      </c>
      <c r="B31" s="23" t="s">
        <v>154</v>
      </c>
      <c r="C31" s="17" t="s">
        <v>173</v>
      </c>
      <c r="D31" s="18" t="s">
        <v>174</v>
      </c>
      <c r="E31" s="17" t="s">
        <v>175</v>
      </c>
      <c r="F31" s="18"/>
      <c r="G31" s="31"/>
      <c r="H31" s="42" t="s">
        <v>176</v>
      </c>
      <c r="I31" s="31" t="s">
        <v>177</v>
      </c>
      <c r="J31" s="31" t="s">
        <v>178</v>
      </c>
      <c r="K31" s="31" t="s">
        <v>167</v>
      </c>
      <c r="L31" s="21"/>
      <c r="M31" s="26"/>
    </row>
    <row r="32" spans="1:13" ht="270.75">
      <c r="A32" s="23" t="s">
        <v>93</v>
      </c>
      <c r="B32" s="23" t="s">
        <v>154</v>
      </c>
      <c r="C32" s="17" t="s">
        <v>179</v>
      </c>
      <c r="D32" s="18" t="s">
        <v>108</v>
      </c>
      <c r="E32" s="17" t="s">
        <v>180</v>
      </c>
      <c r="F32" s="18"/>
      <c r="G32" s="31"/>
      <c r="H32" s="31" t="s">
        <v>181</v>
      </c>
      <c r="I32" s="31" t="s">
        <v>182</v>
      </c>
      <c r="J32" s="31" t="s">
        <v>183</v>
      </c>
      <c r="K32" s="31" t="s">
        <v>167</v>
      </c>
      <c r="L32" s="21"/>
      <c r="M32" s="26"/>
    </row>
    <row r="33" spans="1:13" ht="256.5">
      <c r="A33" s="23" t="s">
        <v>93</v>
      </c>
      <c r="B33" s="23" t="s">
        <v>184</v>
      </c>
      <c r="C33" s="17" t="s">
        <v>185</v>
      </c>
      <c r="D33" s="18" t="s">
        <v>108</v>
      </c>
      <c r="E33" s="17" t="s">
        <v>186</v>
      </c>
      <c r="F33" s="18"/>
      <c r="G33" s="31"/>
      <c r="H33" s="31" t="s">
        <v>187</v>
      </c>
      <c r="I33" s="31" t="s">
        <v>188</v>
      </c>
      <c r="J33" s="31" t="s">
        <v>189</v>
      </c>
      <c r="K33" s="31" t="s">
        <v>190</v>
      </c>
      <c r="L33" s="21"/>
      <c r="M33" s="26"/>
    </row>
    <row r="34" spans="1:13" ht="256.5">
      <c r="A34" s="23" t="s">
        <v>93</v>
      </c>
      <c r="B34" s="23" t="s">
        <v>184</v>
      </c>
      <c r="C34" s="17" t="s">
        <v>191</v>
      </c>
      <c r="D34" s="18" t="s">
        <v>174</v>
      </c>
      <c r="E34" s="17" t="s">
        <v>192</v>
      </c>
      <c r="F34" s="18"/>
      <c r="G34" s="31"/>
      <c r="H34" s="31" t="s">
        <v>193</v>
      </c>
      <c r="I34" s="31" t="s">
        <v>194</v>
      </c>
      <c r="J34" s="31" t="s">
        <v>195</v>
      </c>
      <c r="K34" s="31" t="s">
        <v>196</v>
      </c>
      <c r="L34" s="21"/>
      <c r="M34" s="26"/>
    </row>
    <row r="35" spans="1:13" ht="142.5">
      <c r="A35" s="23" t="s">
        <v>93</v>
      </c>
      <c r="B35" s="23" t="s">
        <v>197</v>
      </c>
      <c r="C35" s="17" t="s">
        <v>198</v>
      </c>
      <c r="D35" s="18" t="s">
        <v>108</v>
      </c>
      <c r="E35" s="17" t="s">
        <v>199</v>
      </c>
      <c r="F35" s="18"/>
      <c r="G35" s="31"/>
      <c r="H35" s="31" t="s">
        <v>200</v>
      </c>
      <c r="I35" s="31" t="s">
        <v>201</v>
      </c>
      <c r="J35" s="31" t="s">
        <v>33</v>
      </c>
      <c r="K35" s="31" t="s">
        <v>202</v>
      </c>
      <c r="L35" s="21"/>
      <c r="M35" s="26"/>
    </row>
    <row r="36" spans="1:13" ht="299.25">
      <c r="A36" s="23" t="s">
        <v>203</v>
      </c>
      <c r="B36" s="23" t="s">
        <v>197</v>
      </c>
      <c r="C36" s="17" t="s">
        <v>204</v>
      </c>
      <c r="D36" s="18" t="s">
        <v>174</v>
      </c>
      <c r="E36" s="17" t="s">
        <v>205</v>
      </c>
      <c r="F36" s="18"/>
      <c r="G36" s="31"/>
      <c r="H36" s="31" t="s">
        <v>206</v>
      </c>
      <c r="I36" s="31" t="s">
        <v>207</v>
      </c>
      <c r="J36" s="31" t="s">
        <v>208</v>
      </c>
      <c r="K36" s="31" t="s">
        <v>209</v>
      </c>
      <c r="L36" s="21"/>
      <c r="M36" s="26"/>
    </row>
    <row r="37" spans="1:13" ht="256.5">
      <c r="A37" s="23" t="s">
        <v>160</v>
      </c>
      <c r="B37" s="23" t="s">
        <v>197</v>
      </c>
      <c r="C37" s="17" t="s">
        <v>210</v>
      </c>
      <c r="D37" s="18" t="s">
        <v>162</v>
      </c>
      <c r="E37" s="17" t="s">
        <v>211</v>
      </c>
      <c r="F37" s="18"/>
      <c r="G37" s="31"/>
      <c r="H37" s="31" t="s">
        <v>212</v>
      </c>
      <c r="I37" s="31" t="s">
        <v>213</v>
      </c>
      <c r="J37" s="31" t="s">
        <v>214</v>
      </c>
      <c r="K37" s="31" t="s">
        <v>209</v>
      </c>
      <c r="L37" s="21"/>
      <c r="M37" s="26"/>
    </row>
    <row r="38" spans="1:13" ht="270.75">
      <c r="A38" s="23" t="s">
        <v>160</v>
      </c>
      <c r="B38" s="23" t="s">
        <v>197</v>
      </c>
      <c r="C38" s="17" t="s">
        <v>215</v>
      </c>
      <c r="D38" s="18" t="s">
        <v>162</v>
      </c>
      <c r="E38" s="17" t="s">
        <v>216</v>
      </c>
      <c r="F38" s="18"/>
      <c r="G38" s="24"/>
      <c r="H38" s="24" t="s">
        <v>217</v>
      </c>
      <c r="I38" s="24" t="s">
        <v>218</v>
      </c>
      <c r="J38" s="24" t="s">
        <v>219</v>
      </c>
      <c r="K38" s="24" t="s">
        <v>209</v>
      </c>
      <c r="L38" s="21"/>
      <c r="M38" s="26"/>
    </row>
    <row r="39" spans="1:13" ht="270.75">
      <c r="A39" s="23" t="s">
        <v>203</v>
      </c>
      <c r="B39" s="23" t="s">
        <v>197</v>
      </c>
      <c r="C39" s="17" t="s">
        <v>220</v>
      </c>
      <c r="D39" s="18" t="s">
        <v>174</v>
      </c>
      <c r="E39" s="17" t="s">
        <v>221</v>
      </c>
      <c r="F39" s="18"/>
      <c r="G39" s="31"/>
      <c r="H39" s="31" t="s">
        <v>222</v>
      </c>
      <c r="I39" s="31" t="s">
        <v>223</v>
      </c>
      <c r="J39" s="31" t="s">
        <v>224</v>
      </c>
      <c r="K39" s="31" t="s">
        <v>209</v>
      </c>
      <c r="L39" s="21"/>
      <c r="M39" s="26"/>
    </row>
    <row r="40" spans="1:13" ht="156.75">
      <c r="A40" s="23" t="s">
        <v>93</v>
      </c>
      <c r="B40" s="23" t="s">
        <v>225</v>
      </c>
      <c r="C40" s="17" t="s">
        <v>226</v>
      </c>
      <c r="D40" s="18" t="s">
        <v>108</v>
      </c>
      <c r="E40" s="17" t="s">
        <v>227</v>
      </c>
      <c r="F40" s="18"/>
      <c r="G40" s="24"/>
      <c r="H40" s="24" t="s">
        <v>228</v>
      </c>
      <c r="I40" s="24" t="s">
        <v>229</v>
      </c>
      <c r="J40" s="24" t="s">
        <v>33</v>
      </c>
      <c r="K40" s="24" t="s">
        <v>230</v>
      </c>
      <c r="L40" s="21"/>
      <c r="M40" s="26"/>
    </row>
    <row r="41" spans="1:13" ht="270.75">
      <c r="A41" s="23" t="s">
        <v>93</v>
      </c>
      <c r="B41" s="23" t="s">
        <v>225</v>
      </c>
      <c r="C41" s="17" t="s">
        <v>231</v>
      </c>
      <c r="D41" s="18" t="s">
        <v>174</v>
      </c>
      <c r="E41" s="17" t="s">
        <v>232</v>
      </c>
      <c r="F41" s="18"/>
      <c r="G41" s="24"/>
      <c r="H41" s="24" t="s">
        <v>233</v>
      </c>
      <c r="I41" s="24" t="s">
        <v>234</v>
      </c>
      <c r="J41" s="24" t="s">
        <v>235</v>
      </c>
      <c r="K41" s="24" t="s">
        <v>230</v>
      </c>
      <c r="L41" s="21"/>
      <c r="M41" s="26"/>
    </row>
    <row r="42" spans="1:13" ht="256.5">
      <c r="A42" s="23" t="s">
        <v>203</v>
      </c>
      <c r="B42" s="23" t="s">
        <v>225</v>
      </c>
      <c r="C42" s="17" t="s">
        <v>236</v>
      </c>
      <c r="D42" s="18" t="s">
        <v>174</v>
      </c>
      <c r="E42" s="23" t="s">
        <v>237</v>
      </c>
      <c r="F42" s="18"/>
      <c r="G42" s="31"/>
      <c r="H42" s="31" t="s">
        <v>238</v>
      </c>
      <c r="I42" s="31" t="s">
        <v>239</v>
      </c>
      <c r="J42" s="31" t="s">
        <v>240</v>
      </c>
      <c r="K42" s="31" t="s">
        <v>230</v>
      </c>
      <c r="L42" s="32"/>
      <c r="M42" s="33"/>
    </row>
    <row r="43" spans="1:13" ht="270.75">
      <c r="A43" s="23" t="s">
        <v>203</v>
      </c>
      <c r="B43" s="23" t="s">
        <v>225</v>
      </c>
      <c r="C43" s="17" t="s">
        <v>241</v>
      </c>
      <c r="D43" s="18" t="s">
        <v>174</v>
      </c>
      <c r="E43" s="23" t="s">
        <v>242</v>
      </c>
      <c r="F43" s="18"/>
      <c r="G43" s="31"/>
      <c r="H43" s="31" t="s">
        <v>243</v>
      </c>
      <c r="I43" s="31" t="s">
        <v>244</v>
      </c>
      <c r="J43" s="31" t="s">
        <v>245</v>
      </c>
      <c r="K43" s="31" t="s">
        <v>230</v>
      </c>
      <c r="L43" s="32"/>
      <c r="M43" s="33"/>
    </row>
    <row r="44" spans="1:13" ht="256.5">
      <c r="A44" s="23" t="s">
        <v>203</v>
      </c>
      <c r="B44" s="23" t="s">
        <v>225</v>
      </c>
      <c r="C44" s="17" t="s">
        <v>246</v>
      </c>
      <c r="D44" s="18" t="s">
        <v>162</v>
      </c>
      <c r="E44" s="23" t="s">
        <v>247</v>
      </c>
      <c r="F44" s="18"/>
      <c r="G44" s="31"/>
      <c r="H44" s="31" t="s">
        <v>248</v>
      </c>
      <c r="I44" s="31" t="s">
        <v>249</v>
      </c>
      <c r="J44" s="31" t="s">
        <v>250</v>
      </c>
      <c r="K44" s="31" t="s">
        <v>230</v>
      </c>
      <c r="L44" s="43"/>
      <c r="M44" s="33"/>
    </row>
    <row r="45" spans="1:13" ht="270.75">
      <c r="A45" s="23" t="s">
        <v>203</v>
      </c>
      <c r="B45" s="23" t="s">
        <v>225</v>
      </c>
      <c r="C45" s="17" t="s">
        <v>251</v>
      </c>
      <c r="D45" s="18" t="s">
        <v>108</v>
      </c>
      <c r="E45" s="23" t="s">
        <v>252</v>
      </c>
      <c r="F45" s="18"/>
      <c r="G45" s="24"/>
      <c r="H45" s="24" t="s">
        <v>253</v>
      </c>
      <c r="I45" s="24" t="s">
        <v>254</v>
      </c>
      <c r="J45" s="24" t="s">
        <v>255</v>
      </c>
      <c r="K45" s="24" t="s">
        <v>230</v>
      </c>
      <c r="L45" s="32"/>
      <c r="M45" s="33"/>
    </row>
    <row r="46" spans="1:13" ht="242.25">
      <c r="A46" s="23" t="s">
        <v>203</v>
      </c>
      <c r="B46" s="23" t="s">
        <v>225</v>
      </c>
      <c r="C46" s="17" t="s">
        <v>256</v>
      </c>
      <c r="D46" s="18" t="s">
        <v>162</v>
      </c>
      <c r="E46" s="23" t="s">
        <v>257</v>
      </c>
      <c r="F46" s="18"/>
      <c r="G46" s="24"/>
      <c r="H46" s="24" t="s">
        <v>258</v>
      </c>
      <c r="I46" s="24" t="s">
        <v>259</v>
      </c>
      <c r="J46" s="24" t="s">
        <v>260</v>
      </c>
      <c r="K46" s="24" t="s">
        <v>230</v>
      </c>
      <c r="L46" s="32"/>
      <c r="M46" s="33"/>
    </row>
    <row r="47" spans="1:13" ht="142.5">
      <c r="A47" s="23" t="s">
        <v>93</v>
      </c>
      <c r="B47" s="23" t="s">
        <v>261</v>
      </c>
      <c r="C47" s="17" t="s">
        <v>262</v>
      </c>
      <c r="D47" s="18" t="s">
        <v>108</v>
      </c>
      <c r="E47" s="17" t="s">
        <v>263</v>
      </c>
      <c r="F47" s="18"/>
      <c r="G47" s="24"/>
      <c r="H47" s="24" t="s">
        <v>264</v>
      </c>
      <c r="I47" s="24" t="s">
        <v>265</v>
      </c>
      <c r="J47" s="24" t="s">
        <v>33</v>
      </c>
      <c r="K47" s="24" t="s">
        <v>266</v>
      </c>
      <c r="L47" s="21"/>
      <c r="M47" s="26"/>
    </row>
    <row r="48" spans="1:13" ht="99.75">
      <c r="A48" s="23" t="s">
        <v>93</v>
      </c>
      <c r="B48" s="23" t="s">
        <v>267</v>
      </c>
      <c r="C48" s="17" t="s">
        <v>268</v>
      </c>
      <c r="D48" s="18" t="s">
        <v>108</v>
      </c>
      <c r="E48" s="17" t="s">
        <v>269</v>
      </c>
      <c r="F48" s="18"/>
      <c r="G48" s="24"/>
      <c r="H48" s="24" t="s">
        <v>270</v>
      </c>
      <c r="I48" s="24" t="s">
        <v>271</v>
      </c>
      <c r="J48" s="24" t="s">
        <v>33</v>
      </c>
      <c r="K48" s="24" t="s">
        <v>272</v>
      </c>
      <c r="L48" s="21"/>
      <c r="M48" s="26"/>
    </row>
    <row r="49" spans="1:13" ht="242.25">
      <c r="A49" s="23" t="s">
        <v>93</v>
      </c>
      <c r="B49" s="23" t="s">
        <v>267</v>
      </c>
      <c r="C49" s="17" t="s">
        <v>273</v>
      </c>
      <c r="D49" s="18" t="s">
        <v>174</v>
      </c>
      <c r="E49" s="17" t="s">
        <v>274</v>
      </c>
      <c r="F49" s="18"/>
      <c r="G49" s="24"/>
      <c r="H49" s="24" t="s">
        <v>275</v>
      </c>
      <c r="I49" s="24" t="s">
        <v>276</v>
      </c>
      <c r="J49" s="24" t="s">
        <v>277</v>
      </c>
      <c r="K49" s="24" t="s">
        <v>278</v>
      </c>
      <c r="L49" s="21"/>
      <c r="M49" s="26"/>
    </row>
    <row r="50" spans="1:13" ht="256.5">
      <c r="A50" s="23" t="s">
        <v>279</v>
      </c>
      <c r="B50" s="23" t="s">
        <v>280</v>
      </c>
      <c r="C50" s="17" t="s">
        <v>281</v>
      </c>
      <c r="D50" s="18" t="s">
        <v>108</v>
      </c>
      <c r="E50" s="23" t="s">
        <v>282</v>
      </c>
      <c r="F50" s="18"/>
      <c r="G50" s="31"/>
      <c r="H50" s="31" t="s">
        <v>283</v>
      </c>
      <c r="I50" s="31" t="s">
        <v>284</v>
      </c>
      <c r="J50" s="31" t="s">
        <v>285</v>
      </c>
      <c r="K50" s="31" t="s">
        <v>286</v>
      </c>
      <c r="L50" s="32"/>
      <c r="M50" s="33"/>
    </row>
    <row r="51" spans="1:13" ht="256.5">
      <c r="A51" s="23" t="s">
        <v>279</v>
      </c>
      <c r="B51" s="23" t="s">
        <v>287</v>
      </c>
      <c r="C51" s="17" t="s">
        <v>288</v>
      </c>
      <c r="D51" s="18" t="s">
        <v>108</v>
      </c>
      <c r="E51" s="23" t="s">
        <v>289</v>
      </c>
      <c r="F51" s="18"/>
      <c r="G51" s="31"/>
      <c r="H51" s="31" t="s">
        <v>290</v>
      </c>
      <c r="I51" s="31" t="s">
        <v>291</v>
      </c>
      <c r="J51" s="31" t="s">
        <v>292</v>
      </c>
      <c r="K51" s="31" t="s">
        <v>293</v>
      </c>
      <c r="L51" s="32"/>
      <c r="M51" s="33"/>
    </row>
    <row r="52" spans="1:13" ht="228">
      <c r="A52" s="23" t="s">
        <v>160</v>
      </c>
      <c r="B52" s="23" t="s">
        <v>294</v>
      </c>
      <c r="C52" s="17" t="s">
        <v>295</v>
      </c>
      <c r="D52" s="18" t="s">
        <v>162</v>
      </c>
      <c r="E52" s="23" t="s">
        <v>296</v>
      </c>
      <c r="F52" s="18"/>
      <c r="G52" s="31"/>
      <c r="H52" s="31" t="s">
        <v>297</v>
      </c>
      <c r="I52" s="31" t="s">
        <v>298</v>
      </c>
      <c r="J52" s="31" t="s">
        <v>299</v>
      </c>
      <c r="K52" s="31" t="s">
        <v>300</v>
      </c>
      <c r="L52" s="44"/>
      <c r="M52" s="45"/>
    </row>
    <row r="53" spans="1:13" ht="213.75">
      <c r="A53" s="23" t="s">
        <v>160</v>
      </c>
      <c r="B53" s="23" t="s">
        <v>294</v>
      </c>
      <c r="C53" s="17" t="s">
        <v>301</v>
      </c>
      <c r="D53" s="18" t="s">
        <v>174</v>
      </c>
      <c r="E53" s="23" t="s">
        <v>302</v>
      </c>
      <c r="F53" s="18"/>
      <c r="G53" s="31"/>
      <c r="H53" s="31" t="s">
        <v>303</v>
      </c>
      <c r="I53" s="31" t="s">
        <v>304</v>
      </c>
      <c r="J53" s="31" t="s">
        <v>305</v>
      </c>
      <c r="K53" s="31" t="s">
        <v>306</v>
      </c>
      <c r="L53" s="44"/>
      <c r="M53" s="46"/>
    </row>
    <row r="54" spans="1:13" ht="242.25">
      <c r="A54" s="17" t="s">
        <v>93</v>
      </c>
      <c r="B54" s="17" t="s">
        <v>307</v>
      </c>
      <c r="C54" s="17" t="s">
        <v>308</v>
      </c>
      <c r="D54" s="18" t="s">
        <v>108</v>
      </c>
      <c r="E54" s="17" t="s">
        <v>309</v>
      </c>
      <c r="F54" s="18"/>
      <c r="G54" s="24"/>
      <c r="H54" s="24" t="s">
        <v>310</v>
      </c>
      <c r="I54" s="24" t="s">
        <v>311</v>
      </c>
      <c r="J54" s="24" t="s">
        <v>312</v>
      </c>
      <c r="K54" s="24" t="s">
        <v>313</v>
      </c>
      <c r="L54" s="21"/>
      <c r="M54" s="26"/>
    </row>
    <row r="55" spans="1:13" ht="313.5">
      <c r="A55" s="23" t="s">
        <v>160</v>
      </c>
      <c r="B55" s="23" t="s">
        <v>314</v>
      </c>
      <c r="C55" s="17" t="s">
        <v>315</v>
      </c>
      <c r="D55" s="18" t="s">
        <v>174</v>
      </c>
      <c r="E55" s="17" t="s">
        <v>316</v>
      </c>
      <c r="F55" s="18"/>
      <c r="G55" s="31"/>
      <c r="H55" s="31" t="s">
        <v>317</v>
      </c>
      <c r="I55" s="31" t="s">
        <v>318</v>
      </c>
      <c r="J55" s="31" t="s">
        <v>319</v>
      </c>
      <c r="K55" s="31" t="s">
        <v>320</v>
      </c>
      <c r="L55" s="21"/>
      <c r="M55" s="26"/>
    </row>
    <row r="56" spans="1:13" ht="142.5">
      <c r="A56" s="23" t="s">
        <v>93</v>
      </c>
      <c r="B56" s="23" t="s">
        <v>321</v>
      </c>
      <c r="C56" s="17" t="s">
        <v>322</v>
      </c>
      <c r="D56" s="18" t="s">
        <v>174</v>
      </c>
      <c r="E56" s="17" t="s">
        <v>323</v>
      </c>
      <c r="F56" s="18"/>
      <c r="G56" s="24"/>
      <c r="H56" s="24" t="s">
        <v>324</v>
      </c>
      <c r="I56" s="24" t="s">
        <v>325</v>
      </c>
      <c r="J56" s="24" t="s">
        <v>33</v>
      </c>
      <c r="K56" s="24" t="s">
        <v>326</v>
      </c>
      <c r="L56" s="21"/>
      <c r="M56" s="26"/>
    </row>
    <row r="57" spans="1:13" ht="142.5">
      <c r="A57" s="23" t="s">
        <v>93</v>
      </c>
      <c r="B57" s="23" t="s">
        <v>327</v>
      </c>
      <c r="C57" s="17" t="s">
        <v>328</v>
      </c>
      <c r="D57" s="18" t="s">
        <v>174</v>
      </c>
      <c r="E57" s="17" t="s">
        <v>329</v>
      </c>
      <c r="F57" s="18"/>
      <c r="G57" s="24"/>
      <c r="H57" s="24" t="s">
        <v>330</v>
      </c>
      <c r="I57" s="24" t="s">
        <v>331</v>
      </c>
      <c r="J57" s="24" t="s">
        <v>33</v>
      </c>
      <c r="K57" s="24" t="s">
        <v>326</v>
      </c>
      <c r="L57" s="21"/>
      <c r="M57" s="26"/>
    </row>
    <row r="58" spans="1:13" ht="142.5">
      <c r="A58" s="23" t="s">
        <v>93</v>
      </c>
      <c r="B58" s="23" t="s">
        <v>332</v>
      </c>
      <c r="C58" s="17" t="s">
        <v>333</v>
      </c>
      <c r="D58" s="18" t="s">
        <v>108</v>
      </c>
      <c r="E58" s="23" t="s">
        <v>334</v>
      </c>
      <c r="F58" s="18"/>
      <c r="G58" s="31"/>
      <c r="H58" s="31" t="s">
        <v>335</v>
      </c>
      <c r="I58" s="31" t="s">
        <v>336</v>
      </c>
      <c r="J58" s="31" t="s">
        <v>33</v>
      </c>
      <c r="K58" s="31" t="s">
        <v>337</v>
      </c>
      <c r="L58" s="32"/>
      <c r="M58" s="33"/>
    </row>
    <row r="59" spans="1:13" ht="142.5">
      <c r="A59" s="23" t="s">
        <v>93</v>
      </c>
      <c r="B59" s="23" t="s">
        <v>338</v>
      </c>
      <c r="C59" s="17" t="s">
        <v>339</v>
      </c>
      <c r="D59" s="18" t="s">
        <v>108</v>
      </c>
      <c r="E59" s="17" t="s">
        <v>340</v>
      </c>
      <c r="F59" s="18"/>
      <c r="G59" s="24"/>
      <c r="H59" s="24" t="s">
        <v>341</v>
      </c>
      <c r="I59" s="24" t="s">
        <v>342</v>
      </c>
      <c r="J59" s="24" t="s">
        <v>33</v>
      </c>
      <c r="K59" s="24" t="s">
        <v>343</v>
      </c>
      <c r="L59" s="21"/>
      <c r="M59" s="26"/>
    </row>
    <row r="60" spans="1:13" ht="313.5">
      <c r="A60" s="23" t="s">
        <v>93</v>
      </c>
      <c r="B60" s="23" t="s">
        <v>338</v>
      </c>
      <c r="C60" s="17" t="s">
        <v>344</v>
      </c>
      <c r="D60" s="18" t="s">
        <v>162</v>
      </c>
      <c r="E60" s="17" t="s">
        <v>345</v>
      </c>
      <c r="F60" s="18"/>
      <c r="G60" s="31"/>
      <c r="H60" s="31" t="s">
        <v>346</v>
      </c>
      <c r="I60" s="31" t="s">
        <v>347</v>
      </c>
      <c r="J60" s="31" t="s">
        <v>348</v>
      </c>
      <c r="K60" s="31" t="s">
        <v>349</v>
      </c>
      <c r="L60" s="21"/>
      <c r="M60" s="26"/>
    </row>
    <row r="61" spans="1:13" ht="299.25">
      <c r="A61" s="23" t="s">
        <v>203</v>
      </c>
      <c r="B61" s="23" t="s">
        <v>338</v>
      </c>
      <c r="C61" s="17" t="s">
        <v>350</v>
      </c>
      <c r="D61" s="18" t="s">
        <v>174</v>
      </c>
      <c r="E61" s="17" t="s">
        <v>351</v>
      </c>
      <c r="F61" s="18"/>
      <c r="G61" s="31"/>
      <c r="H61" s="31" t="s">
        <v>352</v>
      </c>
      <c r="I61" s="31" t="s">
        <v>353</v>
      </c>
      <c r="J61" s="31" t="s">
        <v>354</v>
      </c>
      <c r="K61" s="31" t="s">
        <v>355</v>
      </c>
      <c r="L61" s="21"/>
      <c r="M61" s="26"/>
    </row>
    <row r="62" spans="1:13" ht="256.5">
      <c r="A62" s="23" t="s">
        <v>203</v>
      </c>
      <c r="B62" s="23" t="s">
        <v>338</v>
      </c>
      <c r="C62" s="17" t="s">
        <v>356</v>
      </c>
      <c r="D62" s="18" t="s">
        <v>108</v>
      </c>
      <c r="E62" s="17" t="s">
        <v>357</v>
      </c>
      <c r="F62" s="18"/>
      <c r="G62" s="31"/>
      <c r="H62" s="31" t="s">
        <v>358</v>
      </c>
      <c r="I62" s="31" t="s">
        <v>359</v>
      </c>
      <c r="J62" s="31" t="s">
        <v>360</v>
      </c>
      <c r="K62" s="31" t="s">
        <v>361</v>
      </c>
      <c r="L62" s="21"/>
      <c r="M62" s="26"/>
    </row>
    <row r="63" spans="1:13" ht="270.75">
      <c r="A63" s="23" t="s">
        <v>203</v>
      </c>
      <c r="B63" s="23" t="s">
        <v>338</v>
      </c>
      <c r="C63" s="17" t="s">
        <v>362</v>
      </c>
      <c r="D63" s="18" t="s">
        <v>108</v>
      </c>
      <c r="E63" s="17" t="s">
        <v>363</v>
      </c>
      <c r="F63" s="18"/>
      <c r="G63" s="24"/>
      <c r="H63" s="24" t="s">
        <v>364</v>
      </c>
      <c r="I63" s="24" t="s">
        <v>365</v>
      </c>
      <c r="J63" s="24" t="s">
        <v>366</v>
      </c>
      <c r="K63" s="24" t="s">
        <v>367</v>
      </c>
      <c r="L63" s="21"/>
      <c r="M63" s="26"/>
    </row>
    <row r="64" spans="1:13" ht="285">
      <c r="A64" s="23" t="s">
        <v>203</v>
      </c>
      <c r="B64" s="23" t="s">
        <v>338</v>
      </c>
      <c r="C64" s="17" t="s">
        <v>368</v>
      </c>
      <c r="D64" s="18" t="s">
        <v>162</v>
      </c>
      <c r="E64" s="17" t="s">
        <v>369</v>
      </c>
      <c r="F64" s="18"/>
      <c r="G64" s="24"/>
      <c r="H64" s="24" t="s">
        <v>370</v>
      </c>
      <c r="I64" s="24" t="s">
        <v>371</v>
      </c>
      <c r="J64" s="24" t="s">
        <v>372</v>
      </c>
      <c r="K64" s="24" t="s">
        <v>373</v>
      </c>
      <c r="L64" s="21"/>
      <c r="M64" s="26"/>
    </row>
    <row r="65" spans="1:13" ht="270.75">
      <c r="A65" s="23" t="s">
        <v>160</v>
      </c>
      <c r="B65" s="23" t="s">
        <v>338</v>
      </c>
      <c r="C65" s="17" t="s">
        <v>374</v>
      </c>
      <c r="D65" s="18" t="s">
        <v>162</v>
      </c>
      <c r="E65" s="17" t="s">
        <v>375</v>
      </c>
      <c r="F65" s="18"/>
      <c r="G65" s="31"/>
      <c r="H65" s="31" t="s">
        <v>376</v>
      </c>
      <c r="I65" s="31" t="s">
        <v>377</v>
      </c>
      <c r="J65" s="31" t="s">
        <v>378</v>
      </c>
      <c r="K65" s="31" t="s">
        <v>379</v>
      </c>
      <c r="L65" s="21"/>
      <c r="M65" s="26"/>
    </row>
    <row r="66" spans="1:13" ht="270.75">
      <c r="A66" s="23" t="s">
        <v>160</v>
      </c>
      <c r="B66" s="23" t="s">
        <v>338</v>
      </c>
      <c r="C66" s="17" t="s">
        <v>380</v>
      </c>
      <c r="D66" s="18" t="s">
        <v>162</v>
      </c>
      <c r="E66" s="17" t="s">
        <v>381</v>
      </c>
      <c r="F66" s="18"/>
      <c r="G66" s="31"/>
      <c r="H66" s="31" t="s">
        <v>382</v>
      </c>
      <c r="I66" s="31" t="s">
        <v>383</v>
      </c>
      <c r="J66" s="31" t="s">
        <v>384</v>
      </c>
      <c r="K66" s="31" t="s">
        <v>385</v>
      </c>
      <c r="L66" s="21"/>
      <c r="M66" s="26"/>
    </row>
    <row r="67" spans="1:13" ht="185.25">
      <c r="A67" s="23" t="s">
        <v>93</v>
      </c>
      <c r="B67" s="23" t="s">
        <v>338</v>
      </c>
      <c r="C67" s="17" t="s">
        <v>386</v>
      </c>
      <c r="D67" s="18" t="s">
        <v>174</v>
      </c>
      <c r="E67" s="17" t="s">
        <v>387</v>
      </c>
      <c r="F67" s="18"/>
      <c r="G67" s="31"/>
      <c r="H67" s="31" t="s">
        <v>388</v>
      </c>
      <c r="I67" s="31" t="s">
        <v>389</v>
      </c>
      <c r="J67" s="31" t="s">
        <v>390</v>
      </c>
      <c r="K67" s="31" t="s">
        <v>391</v>
      </c>
      <c r="L67" s="21"/>
      <c r="M67" s="26"/>
    </row>
    <row r="68" spans="1:13" ht="142.5">
      <c r="A68" s="23" t="s">
        <v>93</v>
      </c>
      <c r="B68" s="23" t="s">
        <v>392</v>
      </c>
      <c r="C68" s="17" t="s">
        <v>393</v>
      </c>
      <c r="D68" s="18" t="s">
        <v>108</v>
      </c>
      <c r="E68" s="17" t="s">
        <v>394</v>
      </c>
      <c r="F68" s="18"/>
      <c r="G68" s="31"/>
      <c r="H68" s="31" t="s">
        <v>395</v>
      </c>
      <c r="I68" s="31" t="s">
        <v>396</v>
      </c>
      <c r="J68" s="31" t="s">
        <v>33</v>
      </c>
      <c r="K68" s="31" t="s">
        <v>397</v>
      </c>
      <c r="L68" s="21"/>
      <c r="M68" s="26"/>
    </row>
    <row r="69" spans="1:13" ht="285">
      <c r="A69" s="23" t="s">
        <v>160</v>
      </c>
      <c r="B69" s="23" t="s">
        <v>392</v>
      </c>
      <c r="C69" s="17" t="s">
        <v>398</v>
      </c>
      <c r="D69" s="18" t="s">
        <v>162</v>
      </c>
      <c r="E69" s="17" t="s">
        <v>399</v>
      </c>
      <c r="F69" s="18"/>
      <c r="G69" s="31"/>
      <c r="H69" s="31" t="s">
        <v>400</v>
      </c>
      <c r="I69" s="31" t="s">
        <v>401</v>
      </c>
      <c r="J69" s="31" t="s">
        <v>402</v>
      </c>
      <c r="K69" s="31" t="s">
        <v>403</v>
      </c>
      <c r="L69" s="21"/>
      <c r="M69" s="26"/>
    </row>
    <row r="70" spans="1:13" ht="285">
      <c r="A70" s="23" t="s">
        <v>93</v>
      </c>
      <c r="B70" s="23" t="s">
        <v>392</v>
      </c>
      <c r="C70" s="17" t="s">
        <v>404</v>
      </c>
      <c r="D70" s="18" t="s">
        <v>174</v>
      </c>
      <c r="E70" s="17" t="s">
        <v>405</v>
      </c>
      <c r="F70" s="18"/>
      <c r="G70" s="24"/>
      <c r="H70" s="24" t="s">
        <v>406</v>
      </c>
      <c r="I70" s="24" t="s">
        <v>407</v>
      </c>
      <c r="J70" s="24" t="s">
        <v>408</v>
      </c>
      <c r="K70" s="24" t="s">
        <v>409</v>
      </c>
      <c r="L70" s="21"/>
      <c r="M70" s="26"/>
    </row>
    <row r="71" spans="1:13" ht="270.75">
      <c r="A71" s="23" t="s">
        <v>93</v>
      </c>
      <c r="B71" s="23" t="s">
        <v>392</v>
      </c>
      <c r="C71" s="17" t="s">
        <v>410</v>
      </c>
      <c r="D71" s="18" t="s">
        <v>108</v>
      </c>
      <c r="E71" s="17" t="s">
        <v>411</v>
      </c>
      <c r="F71" s="18"/>
      <c r="G71" s="24"/>
      <c r="H71" s="24" t="s">
        <v>412</v>
      </c>
      <c r="I71" s="24" t="s">
        <v>413</v>
      </c>
      <c r="J71" s="24" t="s">
        <v>414</v>
      </c>
      <c r="K71" s="24" t="s">
        <v>409</v>
      </c>
      <c r="L71" s="21"/>
      <c r="M71" s="26"/>
    </row>
    <row r="72" spans="1:13" ht="256.5">
      <c r="A72" s="23" t="s">
        <v>93</v>
      </c>
      <c r="B72" s="23" t="s">
        <v>415</v>
      </c>
      <c r="C72" s="17" t="s">
        <v>416</v>
      </c>
      <c r="D72" s="18" t="s">
        <v>108</v>
      </c>
      <c r="E72" s="23" t="s">
        <v>417</v>
      </c>
      <c r="F72" s="18"/>
      <c r="G72" s="31"/>
      <c r="H72" s="31" t="s">
        <v>418</v>
      </c>
      <c r="I72" s="31" t="s">
        <v>419</v>
      </c>
      <c r="J72" s="31" t="s">
        <v>33</v>
      </c>
      <c r="K72" s="31" t="s">
        <v>420</v>
      </c>
      <c r="L72" s="32"/>
      <c r="M72" s="33"/>
    </row>
    <row r="73" spans="1:13" ht="256.5">
      <c r="A73" s="23" t="s">
        <v>160</v>
      </c>
      <c r="B73" s="23" t="s">
        <v>421</v>
      </c>
      <c r="C73" s="17" t="s">
        <v>422</v>
      </c>
      <c r="D73" s="18" t="s">
        <v>174</v>
      </c>
      <c r="E73" s="17" t="s">
        <v>423</v>
      </c>
      <c r="F73" s="18"/>
      <c r="G73" s="31"/>
      <c r="H73" s="31" t="s">
        <v>424</v>
      </c>
      <c r="I73" s="31" t="s">
        <v>425</v>
      </c>
      <c r="J73" s="31" t="s">
        <v>426</v>
      </c>
      <c r="K73" s="31" t="s">
        <v>427</v>
      </c>
      <c r="L73" s="21"/>
      <c r="M73" s="26"/>
    </row>
    <row r="74" spans="1:13" ht="242.25">
      <c r="A74" s="23" t="s">
        <v>203</v>
      </c>
      <c r="B74" s="23" t="s">
        <v>428</v>
      </c>
      <c r="C74" s="17" t="s">
        <v>429</v>
      </c>
      <c r="D74" s="18" t="s">
        <v>174</v>
      </c>
      <c r="E74" s="17" t="s">
        <v>430</v>
      </c>
      <c r="F74" s="18"/>
      <c r="G74" s="31"/>
      <c r="H74" s="31" t="s">
        <v>431</v>
      </c>
      <c r="I74" s="31" t="s">
        <v>432</v>
      </c>
      <c r="J74" s="31" t="s">
        <v>433</v>
      </c>
      <c r="K74" s="31" t="s">
        <v>434</v>
      </c>
      <c r="L74" s="21"/>
      <c r="M74" s="26"/>
    </row>
    <row r="75" spans="1:13" ht="199.5">
      <c r="A75" s="23" t="s">
        <v>203</v>
      </c>
      <c r="B75" s="23" t="s">
        <v>428</v>
      </c>
      <c r="C75" s="17" t="s">
        <v>435</v>
      </c>
      <c r="D75" s="18" t="s">
        <v>174</v>
      </c>
      <c r="E75" s="17" t="s">
        <v>436</v>
      </c>
      <c r="F75" s="18"/>
      <c r="G75" s="31"/>
      <c r="H75" s="31" t="s">
        <v>437</v>
      </c>
      <c r="I75" s="31" t="s">
        <v>438</v>
      </c>
      <c r="J75" s="31" t="s">
        <v>439</v>
      </c>
      <c r="K75" s="31" t="s">
        <v>440</v>
      </c>
      <c r="L75" s="21"/>
      <c r="M75" s="26"/>
    </row>
    <row r="76" spans="1:13" ht="228">
      <c r="A76" s="23" t="s">
        <v>160</v>
      </c>
      <c r="B76" s="23" t="s">
        <v>441</v>
      </c>
      <c r="C76" s="17" t="s">
        <v>442</v>
      </c>
      <c r="D76" s="18" t="s">
        <v>174</v>
      </c>
      <c r="E76" s="17" t="s">
        <v>443</v>
      </c>
      <c r="F76" s="18"/>
      <c r="G76" s="31"/>
      <c r="H76" s="31" t="s">
        <v>444</v>
      </c>
      <c r="I76" s="31" t="s">
        <v>445</v>
      </c>
      <c r="J76" s="31" t="s">
        <v>446</v>
      </c>
      <c r="K76" s="31" t="s">
        <v>447</v>
      </c>
      <c r="L76" s="21"/>
      <c r="M76" s="26"/>
    </row>
    <row r="77" spans="1:13" ht="313.5">
      <c r="A77" s="23" t="s">
        <v>160</v>
      </c>
      <c r="B77" s="23" t="s">
        <v>441</v>
      </c>
      <c r="C77" s="17" t="s">
        <v>448</v>
      </c>
      <c r="D77" s="18" t="s">
        <v>162</v>
      </c>
      <c r="E77" s="17" t="s">
        <v>449</v>
      </c>
      <c r="F77" s="18"/>
      <c r="G77" s="31"/>
      <c r="H77" s="31" t="s">
        <v>450</v>
      </c>
      <c r="I77" s="31" t="s">
        <v>451</v>
      </c>
      <c r="J77" s="31" t="s">
        <v>452</v>
      </c>
      <c r="K77" s="31" t="s">
        <v>453</v>
      </c>
      <c r="L77" s="21"/>
      <c r="M77" s="26"/>
    </row>
    <row r="78" spans="1:13" ht="256.5">
      <c r="A78" s="23" t="s">
        <v>203</v>
      </c>
      <c r="B78" s="23" t="s">
        <v>441</v>
      </c>
      <c r="C78" s="17" t="s">
        <v>454</v>
      </c>
      <c r="D78" s="18" t="s">
        <v>162</v>
      </c>
      <c r="E78" s="17" t="s">
        <v>455</v>
      </c>
      <c r="F78" s="18"/>
      <c r="G78" s="31"/>
      <c r="H78" s="31" t="s">
        <v>456</v>
      </c>
      <c r="I78" s="31" t="s">
        <v>457</v>
      </c>
      <c r="J78" s="31" t="s">
        <v>458</v>
      </c>
      <c r="K78" s="31" t="s">
        <v>459</v>
      </c>
      <c r="L78" s="21"/>
      <c r="M78" s="26"/>
    </row>
    <row r="79" spans="1:13" ht="199.5">
      <c r="A79" s="23" t="s">
        <v>203</v>
      </c>
      <c r="B79" s="23" t="s">
        <v>441</v>
      </c>
      <c r="C79" s="17" t="s">
        <v>460</v>
      </c>
      <c r="D79" s="18" t="s">
        <v>162</v>
      </c>
      <c r="E79" s="17" t="s">
        <v>461</v>
      </c>
      <c r="F79" s="18"/>
      <c r="G79" s="31"/>
      <c r="H79" s="31" t="s">
        <v>462</v>
      </c>
      <c r="I79" s="31" t="s">
        <v>463</v>
      </c>
      <c r="J79" s="31" t="s">
        <v>464</v>
      </c>
      <c r="K79" s="31" t="s">
        <v>465</v>
      </c>
      <c r="L79" s="21"/>
      <c r="M79" s="26"/>
    </row>
    <row r="80" spans="1:13" ht="228">
      <c r="A80" s="23" t="s">
        <v>93</v>
      </c>
      <c r="B80" s="23" t="s">
        <v>466</v>
      </c>
      <c r="C80" s="17" t="s">
        <v>467</v>
      </c>
      <c r="D80" s="18" t="s">
        <v>108</v>
      </c>
      <c r="E80" s="17" t="s">
        <v>468</v>
      </c>
      <c r="F80" s="18"/>
      <c r="G80" s="24"/>
      <c r="H80" s="24" t="s">
        <v>469</v>
      </c>
      <c r="I80" s="24" t="s">
        <v>470</v>
      </c>
      <c r="J80" s="24" t="s">
        <v>33</v>
      </c>
      <c r="K80" s="24" t="s">
        <v>471</v>
      </c>
      <c r="L80" s="21"/>
      <c r="M80" s="26"/>
    </row>
    <row r="81" spans="1:13" ht="270.75">
      <c r="A81" s="23" t="s">
        <v>93</v>
      </c>
      <c r="B81" s="23" t="s">
        <v>466</v>
      </c>
      <c r="C81" s="17" t="s">
        <v>472</v>
      </c>
      <c r="D81" s="18" t="s">
        <v>108</v>
      </c>
      <c r="E81" s="23" t="s">
        <v>473</v>
      </c>
      <c r="F81" s="18"/>
      <c r="G81" s="24"/>
      <c r="H81" s="24" t="s">
        <v>474</v>
      </c>
      <c r="I81" s="24" t="s">
        <v>475</v>
      </c>
      <c r="J81" s="24" t="s">
        <v>476</v>
      </c>
      <c r="K81" s="24" t="s">
        <v>477</v>
      </c>
      <c r="L81" s="32"/>
      <c r="M81" s="33"/>
    </row>
    <row r="82" spans="1:13" ht="142.5">
      <c r="A82" s="23" t="s">
        <v>93</v>
      </c>
      <c r="B82" s="23" t="s">
        <v>466</v>
      </c>
      <c r="C82" s="17" t="s">
        <v>478</v>
      </c>
      <c r="D82" s="18" t="s">
        <v>108</v>
      </c>
      <c r="E82" s="23" t="s">
        <v>479</v>
      </c>
      <c r="F82" s="18"/>
      <c r="G82" s="24"/>
      <c r="H82" s="24" t="s">
        <v>480</v>
      </c>
      <c r="I82" s="24" t="s">
        <v>481</v>
      </c>
      <c r="J82" s="24" t="s">
        <v>33</v>
      </c>
      <c r="K82" s="24" t="s">
        <v>482</v>
      </c>
      <c r="L82" s="32"/>
      <c r="M82" s="33"/>
    </row>
    <row r="83" spans="1:13" ht="242.25">
      <c r="A83" s="23" t="s">
        <v>93</v>
      </c>
      <c r="B83" s="23" t="s">
        <v>466</v>
      </c>
      <c r="C83" s="17" t="s">
        <v>483</v>
      </c>
      <c r="D83" s="18" t="s">
        <v>162</v>
      </c>
      <c r="E83" s="17" t="s">
        <v>484</v>
      </c>
      <c r="F83" s="18"/>
      <c r="G83" s="31"/>
      <c r="H83" s="31" t="s">
        <v>485</v>
      </c>
      <c r="I83" s="31" t="s">
        <v>486</v>
      </c>
      <c r="J83" s="31" t="s">
        <v>487</v>
      </c>
      <c r="K83" s="31" t="s">
        <v>488</v>
      </c>
      <c r="L83" s="21"/>
      <c r="M83" s="26"/>
    </row>
    <row r="84" spans="1:13" ht="228">
      <c r="A84" s="23" t="s">
        <v>93</v>
      </c>
      <c r="B84" s="23" t="s">
        <v>466</v>
      </c>
      <c r="C84" s="17" t="s">
        <v>489</v>
      </c>
      <c r="D84" s="18" t="s">
        <v>174</v>
      </c>
      <c r="E84" s="17" t="s">
        <v>490</v>
      </c>
      <c r="F84" s="18"/>
      <c r="G84" s="31"/>
      <c r="H84" s="31" t="s">
        <v>491</v>
      </c>
      <c r="I84" s="31" t="s">
        <v>492</v>
      </c>
      <c r="J84" s="31" t="s">
        <v>33</v>
      </c>
      <c r="K84" s="31" t="s">
        <v>493</v>
      </c>
      <c r="L84" s="21"/>
      <c r="M84" s="26"/>
    </row>
    <row r="85" spans="1:13" ht="114">
      <c r="A85" s="23" t="s">
        <v>160</v>
      </c>
      <c r="B85" s="23" t="s">
        <v>494</v>
      </c>
      <c r="C85" s="17" t="s">
        <v>495</v>
      </c>
      <c r="D85" s="18" t="s">
        <v>108</v>
      </c>
      <c r="E85" s="17" t="s">
        <v>496</v>
      </c>
      <c r="F85" s="18"/>
      <c r="G85" s="31"/>
      <c r="H85" s="31" t="s">
        <v>497</v>
      </c>
      <c r="I85" s="31" t="s">
        <v>498</v>
      </c>
      <c r="J85" s="31" t="s">
        <v>33</v>
      </c>
      <c r="K85" s="31" t="s">
        <v>499</v>
      </c>
      <c r="L85" s="21"/>
      <c r="M85" s="26"/>
    </row>
    <row r="86" spans="1:13" ht="114">
      <c r="A86" s="23" t="s">
        <v>93</v>
      </c>
      <c r="B86" s="23" t="s">
        <v>500</v>
      </c>
      <c r="C86" s="17" t="s">
        <v>501</v>
      </c>
      <c r="D86" s="18" t="s">
        <v>108</v>
      </c>
      <c r="E86" s="17" t="s">
        <v>502</v>
      </c>
      <c r="F86" s="18"/>
      <c r="G86" s="31"/>
      <c r="H86" s="31" t="s">
        <v>503</v>
      </c>
      <c r="I86" s="31" t="s">
        <v>504</v>
      </c>
      <c r="J86" s="31" t="s">
        <v>33</v>
      </c>
      <c r="K86" s="31" t="s">
        <v>505</v>
      </c>
      <c r="L86" s="21"/>
      <c r="M86" s="26"/>
    </row>
    <row r="87" spans="1:13" ht="13.5" customHeight="1">
      <c r="A87" s="47"/>
      <c r="B87" s="47"/>
      <c r="C87" s="47"/>
      <c r="D87" s="48"/>
      <c r="E87" s="47"/>
      <c r="F87" s="47"/>
      <c r="G87" s="49"/>
      <c r="H87" s="47"/>
      <c r="I87" s="47"/>
      <c r="J87" s="47"/>
      <c r="K87" s="47"/>
      <c r="L87" s="47"/>
      <c r="M87" s="47"/>
    </row>
    <row r="88" spans="1:13" ht="13.5" customHeight="1">
      <c r="A88" s="47"/>
      <c r="B88" s="47"/>
      <c r="C88" s="47"/>
      <c r="D88" s="48"/>
      <c r="E88" s="47"/>
      <c r="F88" s="47"/>
      <c r="G88" s="49"/>
      <c r="H88" s="47"/>
      <c r="I88" s="47"/>
      <c r="J88" s="47"/>
      <c r="K88" s="47"/>
      <c r="L88" s="47"/>
      <c r="M88" s="47"/>
    </row>
    <row r="89" spans="1:13" ht="13.5" customHeight="1">
      <c r="A89" s="47"/>
      <c r="B89" s="47"/>
      <c r="C89" s="47"/>
      <c r="D89" s="48"/>
      <c r="E89" s="47"/>
      <c r="F89" s="47"/>
      <c r="G89" s="49"/>
      <c r="H89" s="47"/>
      <c r="I89" s="47"/>
      <c r="J89" s="47"/>
      <c r="K89" s="47"/>
      <c r="L89" s="47"/>
      <c r="M89" s="47"/>
    </row>
    <row r="90" spans="1:13" ht="13.5" customHeight="1">
      <c r="A90" s="47"/>
      <c r="B90" s="47"/>
      <c r="C90" s="47"/>
      <c r="D90" s="48"/>
      <c r="E90" s="47"/>
      <c r="F90" s="47"/>
      <c r="G90" s="49"/>
      <c r="H90" s="47"/>
      <c r="I90" s="47"/>
      <c r="J90" s="47"/>
      <c r="K90" s="47"/>
      <c r="L90" s="47"/>
      <c r="M90" s="47"/>
    </row>
    <row r="91" spans="1:13" ht="13.5" customHeight="1">
      <c r="A91" s="47"/>
      <c r="B91" s="47"/>
      <c r="C91" s="47"/>
      <c r="D91" s="48"/>
      <c r="E91" s="47"/>
      <c r="F91" s="47"/>
      <c r="G91" s="49"/>
      <c r="H91" s="47"/>
      <c r="I91" s="47"/>
      <c r="J91" s="47"/>
      <c r="K91" s="47"/>
      <c r="L91" s="47"/>
      <c r="M91" s="47"/>
    </row>
  </sheetData>
  <autoFilter ref="A1:H91" xr:uid="{00000000-0009-0000-0000-000001000000}"/>
  <phoneticPr fontId="34" type="noConversion"/>
  <conditionalFormatting sqref="F2:F86">
    <cfRule type="containsBlanks" dxfId="12" priority="1">
      <formula>LEN(TRIM(F2))=0</formula>
    </cfRule>
  </conditionalFormatting>
  <conditionalFormatting sqref="D2:D91">
    <cfRule type="cellIs" dxfId="11" priority="2" operator="equal">
      <formula>"상"</formula>
    </cfRule>
  </conditionalFormatting>
  <conditionalFormatting sqref="D2:D91">
    <cfRule type="cellIs" dxfId="10" priority="3" operator="equal">
      <formula>"중"</formula>
    </cfRule>
  </conditionalFormatting>
  <conditionalFormatting sqref="D2:D91">
    <cfRule type="cellIs" dxfId="9" priority="4" operator="equal">
      <formula>"하"</formula>
    </cfRule>
  </conditionalFormatting>
  <dataValidations count="2">
    <dataValidation type="list" allowBlank="1" showDropDown="1" showErrorMessage="1" sqref="A34:A35" xr:uid="{00000000-0002-0000-0100-000000000000}">
      <formula1>"고객사 운영 정보,보안 관리,비용 최적화,서비스 관리,안정성 유지 관리"</formula1>
    </dataValidation>
    <dataValidation type="list" allowBlank="1" showErrorMessage="1" sqref="F2:F86" xr:uid="{00000000-0002-0000-0100-000001000000}">
      <formula1>"조치 권고,확인 불가,미사용,점검 완료"</formula1>
    </dataValidation>
  </dataValidations>
  <hyperlinks>
    <hyperlink ref="H30" r:id="rId1" xr:uid="{00000000-0004-0000-0100-000000000000}"/>
    <hyperlink ref="H31" r:id="rId2" xr:uid="{00000000-0004-0000-0100-000001000000}"/>
  </hyperlinks>
  <pageMargins left="0.7" right="0.7" top="0.75" bottom="0.75" header="0" footer="0"/>
  <pageSetup paperSize="9" orientation="portrait"/>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J200"/>
  <sheetViews>
    <sheetView showGridLines="0" workbookViewId="0">
      <selection activeCell="H6" sqref="H6"/>
    </sheetView>
  </sheetViews>
  <sheetFormatPr defaultColWidth="14.42578125" defaultRowHeight="15" customHeight="1"/>
  <cols>
    <col min="1" max="1" width="1.140625" customWidth="1"/>
    <col min="2" max="4" width="21.5703125" customWidth="1"/>
    <col min="5" max="5" width="10.140625" customWidth="1"/>
    <col min="6" max="6" width="71.5703125" customWidth="1"/>
    <col min="8" max="8" width="71.5703125" customWidth="1"/>
    <col min="9" max="9" width="1.140625" customWidth="1"/>
    <col min="10" max="10" width="6.85546875" customWidth="1"/>
  </cols>
  <sheetData>
    <row r="1" spans="1:10" ht="13.5" customHeight="1">
      <c r="A1" s="50"/>
      <c r="B1" s="50"/>
      <c r="C1" s="50"/>
      <c r="D1" s="50"/>
      <c r="E1" s="51"/>
      <c r="F1" s="50"/>
      <c r="G1" s="51"/>
      <c r="H1" s="50"/>
      <c r="I1" s="50"/>
      <c r="J1" s="50"/>
    </row>
    <row r="2" spans="1:10" ht="51.75" customHeight="1">
      <c r="A2" s="50"/>
      <c r="B2" s="109" t="s">
        <v>506</v>
      </c>
      <c r="C2" s="110"/>
      <c r="D2" s="110"/>
      <c r="E2" s="110"/>
      <c r="F2" s="110"/>
      <c r="G2" s="110"/>
      <c r="H2" s="110"/>
      <c r="I2" s="50"/>
      <c r="J2" s="52"/>
    </row>
    <row r="3" spans="1:10" ht="13.5" customHeight="1">
      <c r="A3" s="50"/>
      <c r="B3" s="50"/>
      <c r="C3" s="50"/>
      <c r="D3" s="50"/>
      <c r="E3" s="51"/>
      <c r="F3" s="50"/>
      <c r="G3" s="51"/>
      <c r="H3" s="50"/>
      <c r="I3" s="50"/>
      <c r="J3" s="50"/>
    </row>
    <row r="4" spans="1:10" ht="21">
      <c r="A4" s="50"/>
      <c r="B4" s="53" t="s">
        <v>507</v>
      </c>
      <c r="C4" s="50"/>
      <c r="D4" s="50"/>
      <c r="E4" s="51"/>
      <c r="F4" s="50"/>
      <c r="G4" s="51"/>
      <c r="H4" s="50"/>
      <c r="I4" s="50"/>
      <c r="J4" s="50"/>
    </row>
    <row r="5" spans="1:10" ht="13.5" customHeight="1">
      <c r="A5" s="50"/>
      <c r="B5" s="54"/>
      <c r="C5" s="50"/>
      <c r="D5" s="50"/>
      <c r="E5" s="51"/>
      <c r="F5" s="50"/>
      <c r="G5" s="51"/>
      <c r="H5" s="50"/>
      <c r="I5" s="50"/>
      <c r="J5" s="50"/>
    </row>
    <row r="6" spans="1:10" ht="13.5" customHeight="1">
      <c r="A6" s="50"/>
      <c r="B6" s="51" t="s">
        <v>32</v>
      </c>
      <c r="C6" s="55">
        <f>고객사점검표!G2</f>
        <v>0</v>
      </c>
      <c r="D6" s="56"/>
      <c r="E6" s="57"/>
      <c r="F6" s="50"/>
      <c r="G6" s="58" t="s">
        <v>508</v>
      </c>
      <c r="H6" s="59" t="s">
        <v>509</v>
      </c>
      <c r="I6" s="50"/>
      <c r="J6" s="50"/>
    </row>
    <row r="7" spans="1:10" ht="13.5" customHeight="1">
      <c r="A7" s="50"/>
      <c r="B7" s="51" t="s">
        <v>41</v>
      </c>
      <c r="C7" s="60">
        <f>고객사점검표!G4</f>
        <v>0</v>
      </c>
      <c r="D7" s="56"/>
      <c r="E7" s="57"/>
      <c r="F7" s="50"/>
      <c r="G7" s="61" t="s">
        <v>510</v>
      </c>
      <c r="H7" s="62">
        <v>45689</v>
      </c>
      <c r="I7" s="50"/>
      <c r="J7" s="50"/>
    </row>
    <row r="8" spans="1:10" ht="13.5" customHeight="1">
      <c r="A8" s="50"/>
      <c r="B8" s="51" t="s">
        <v>511</v>
      </c>
      <c r="C8" s="111">
        <f>고객사점검표!G8</f>
        <v>0</v>
      </c>
      <c r="D8" s="112"/>
      <c r="E8" s="57"/>
      <c r="F8" s="50"/>
      <c r="G8" s="58" t="s">
        <v>512</v>
      </c>
      <c r="H8" s="59" t="s">
        <v>513</v>
      </c>
      <c r="I8" s="50"/>
      <c r="J8" s="50"/>
    </row>
    <row r="9" spans="1:10" ht="13.5" customHeight="1">
      <c r="A9" s="50"/>
      <c r="B9" s="51" t="s">
        <v>514</v>
      </c>
      <c r="C9" s="63">
        <f>고객사점검표!G9</f>
        <v>0</v>
      </c>
      <c r="D9" s="59"/>
      <c r="E9" s="51"/>
      <c r="F9" s="50"/>
      <c r="G9" s="58"/>
      <c r="H9" s="58"/>
      <c r="I9" s="50"/>
      <c r="J9" s="50"/>
    </row>
    <row r="10" spans="1:10" ht="13.5" customHeight="1">
      <c r="A10" s="50"/>
      <c r="B10" s="64" t="s">
        <v>515</v>
      </c>
      <c r="C10" s="50"/>
      <c r="D10" s="50"/>
      <c r="E10" s="51"/>
      <c r="F10" s="50"/>
      <c r="G10" s="51"/>
      <c r="H10" s="50"/>
      <c r="I10" s="50"/>
      <c r="J10" s="50"/>
    </row>
    <row r="11" spans="1:10" ht="18">
      <c r="A11" s="50"/>
      <c r="B11" s="113" t="s">
        <v>516</v>
      </c>
      <c r="C11" s="110"/>
      <c r="D11" s="50"/>
      <c r="E11" s="51"/>
      <c r="F11" s="50"/>
      <c r="G11" s="51"/>
      <c r="H11" s="65" t="str">
        <f>"[조치 권고 : " &amp; COUNTIF(G14:G60, "조치 권고") &amp; " / 확인 불가 : " &amp; COUNTIF(G61:G90, "확인 불가") &amp; "]"</f>
        <v>[조치 권고 : 0 / 확인 불가 : 0]</v>
      </c>
      <c r="I11" s="50"/>
      <c r="J11" s="50"/>
    </row>
    <row r="12" spans="1:10" ht="3.75" customHeight="1">
      <c r="A12" s="50"/>
      <c r="B12" s="66" t="s">
        <v>515</v>
      </c>
      <c r="C12" s="50"/>
      <c r="D12" s="50"/>
      <c r="E12" s="51"/>
      <c r="F12" s="50"/>
      <c r="G12" s="51"/>
      <c r="H12" s="50"/>
      <c r="I12" s="50"/>
      <c r="J12" s="50"/>
    </row>
    <row r="13" spans="1:10" ht="15" customHeight="1">
      <c r="A13" s="50"/>
      <c r="B13" s="67" t="str">
        <f>고객사점검표!$A$1</f>
        <v>대분류</v>
      </c>
      <c r="C13" s="67" t="str">
        <f>고객사점검표!$B$1</f>
        <v>중분류</v>
      </c>
      <c r="D13" s="67" t="str">
        <f>고객사점검표!$C$1</f>
        <v>점검 항목</v>
      </c>
      <c r="E13" s="67" t="str">
        <f>고객사점검표!$D$1</f>
        <v>위험도</v>
      </c>
      <c r="F13" s="67" t="str">
        <f>고객사점검표!$E$1</f>
        <v>점검 내용</v>
      </c>
      <c r="G13" s="67" t="str">
        <f>고객사점검표!$F$1</f>
        <v>점검 결과</v>
      </c>
      <c r="H13" s="67" t="str">
        <f>고객사점검표!$G$1</f>
        <v>조치 안내</v>
      </c>
      <c r="I13" s="50"/>
      <c r="J13" s="50"/>
    </row>
    <row r="14" spans="1:10" ht="16.5">
      <c r="A14" s="50"/>
      <c r="B14" s="68" t="str">
        <f t="array" ref="B14">IFERROR(INDEX(고객사점검표!A$2:A$91, 1 / LARGE(INDEX((고객사점검표!$F$2:$F$91="조치 권고") / ROW(고객사점검표!$E$2:$E$91),), ROW($B1)) - 1), "")</f>
        <v/>
      </c>
      <c r="C14" s="69" t="str">
        <f t="array" ref="C14">IFERROR(INDEX(고객사점검표!B$2:B$91, 1 / LARGE(INDEX((고객사점검표!$F$2:$F$91="조치 권고") / ROW(고객사점검표!$E$2:$E$91),), ROW($B1)) - 1), "")</f>
        <v/>
      </c>
      <c r="D14" s="69" t="str">
        <f t="array" ref="D14">IFERROR(INDEX(고객사점검표!C$2:C$91, 1 / LARGE(INDEX((고객사점검표!$F$2:$F$91="조치 권고") / ROW(고객사점검표!$E$2:$E$91),), ROW($B1)) - 1), "")</f>
        <v/>
      </c>
      <c r="E14" s="70" t="str">
        <f t="array" ref="E14">IFERROR(INDEX(고객사점검표!D$2:D$91, 1 / LARGE(INDEX((고객사점검표!$F$2:$F$91="조치 권고") / ROW(고객사점검표!$E$2:$E$91),), ROW($B1)) - 1), "")</f>
        <v/>
      </c>
      <c r="F14" s="71" t="str">
        <f t="array" ref="F14">IFERROR(INDEX(고객사점검표!E$2:E$91, 1 / LARGE(INDEX((고객사점검표!$F$2:$F$91="조치 권고") / ROW(고객사점검표!$E$2:$E$91),), ROW($B1)) - 1), "")</f>
        <v/>
      </c>
      <c r="G14" s="69" t="str">
        <f t="array" ref="G14">IFERROR(INDEX(고객사점검표!F$2:F$91, 1 / LARGE(INDEX((고객사점검표!$F$2:$F$91="조치 권고") / ROW(고객사점검표!$E$2:$E$91),), ROW($B1)) - 1), "")</f>
        <v/>
      </c>
      <c r="H14" s="72" t="str">
        <f t="array" ref="H14">IFERROR(INDEX(고객사점검표!G$2:G$91, 1 / LARGE(INDEX((고객사점검표!$F$2:$F$91="조치 권고") / ROW(고객사점검표!$E$2:$E$91),), ROW($B1)) - 1), "")</f>
        <v/>
      </c>
      <c r="I14" s="50"/>
      <c r="J14" s="50"/>
    </row>
    <row r="15" spans="1:10" ht="16.5">
      <c r="A15" s="73"/>
      <c r="B15" s="68" t="str">
        <f t="array" ref="B15">IFERROR(INDEX(고객사점검표!A$2:A$91, 1 / LARGE(INDEX((고객사점검표!$F$2:$F$91="조치 권고") / ROW(고객사점검표!$E$2:$E$91),), ROW($B2)) - 1), "")</f>
        <v/>
      </c>
      <c r="C15" s="69" t="str">
        <f t="array" ref="C15">IFERROR(INDEX(고객사점검표!B$2:B$91, 1 / LARGE(INDEX((고객사점검표!$F$2:$F$91="조치 권고") / ROW(고객사점검표!$E$2:$E$91),), ROW($B2)) - 1), "")</f>
        <v/>
      </c>
      <c r="D15" s="69" t="str">
        <f t="array" ref="D15">IFERROR(INDEX(고객사점검표!C$2:C$91, 1 / LARGE(INDEX((고객사점검표!$F$2:$F$91="조치 권고") / ROW(고객사점검표!$E$2:$E$91),), ROW($B2)) - 1), "")</f>
        <v/>
      </c>
      <c r="E15" s="70" t="str">
        <f t="array" ref="E15">IFERROR(INDEX(고객사점검표!D$2:D$91, 1 / LARGE(INDEX((고객사점검표!$F$2:$F$91="조치 권고") / ROW(고객사점검표!$E$2:$E$91),), ROW($B2)) - 1), "")</f>
        <v/>
      </c>
      <c r="F15" s="71" t="str">
        <f t="array" ref="F15">IFERROR(INDEX(고객사점검표!E$2:E$91, 1 / LARGE(INDEX((고객사점검표!$F$2:$F$91="조치 권고") / ROW(고객사점검표!$E$2:$E$91),), ROW($B2)) - 1), "")</f>
        <v/>
      </c>
      <c r="G15" s="69" t="str">
        <f t="array" ref="G15">IFERROR(INDEX(고객사점검표!F$2:F$91, 1 / LARGE(INDEX((고객사점검표!$F$2:$F$91="조치 권고") / ROW(고객사점검표!$E$2:$E$91),), ROW($B2)) - 1), "")</f>
        <v/>
      </c>
      <c r="H15" s="72" t="str">
        <f t="array" ref="H15">IFERROR(INDEX(고객사점검표!G$2:G$91, 1 / LARGE(INDEX((고객사점검표!$F$2:$F$91="조치 권고") / ROW(고객사점검표!$E$2:$E$91),), ROW($B2)) - 1), "")</f>
        <v/>
      </c>
      <c r="I15" s="73"/>
      <c r="J15" s="73"/>
    </row>
    <row r="16" spans="1:10" ht="16.5">
      <c r="A16" s="73"/>
      <c r="B16" s="68" t="str">
        <f t="array" ref="B16">IFERROR(INDEX(고객사점검표!A$2:A$91, 1 / LARGE(INDEX((고객사점검표!$F$2:$F$91="조치 권고") / ROW(고객사점검표!$E$2:$E$91),), ROW($B3)) - 1), "")</f>
        <v/>
      </c>
      <c r="C16" s="69" t="str">
        <f t="array" ref="C16">IFERROR(INDEX(고객사점검표!B$2:B$91, 1 / LARGE(INDEX((고객사점검표!$F$2:$F$91="조치 권고") / ROW(고객사점검표!$E$2:$E$91),), ROW($B3)) - 1), "")</f>
        <v/>
      </c>
      <c r="D16" s="69" t="str">
        <f t="array" ref="D16">IFERROR(INDEX(고객사점검표!C$2:C$91, 1 / LARGE(INDEX((고객사점검표!$F$2:$F$91="조치 권고") / ROW(고객사점검표!$E$2:$E$91),), ROW($B3)) - 1), "")</f>
        <v/>
      </c>
      <c r="E16" s="70" t="str">
        <f t="array" ref="E16">IFERROR(INDEX(고객사점검표!D$2:D$91, 1 / LARGE(INDEX((고객사점검표!$F$2:$F$91="조치 권고") / ROW(고객사점검표!$E$2:$E$91),), ROW($B3)) - 1), "")</f>
        <v/>
      </c>
      <c r="F16" s="71" t="str">
        <f t="array" ref="F16">IFERROR(INDEX(고객사점검표!E$2:E$91, 1 / LARGE(INDEX((고객사점검표!$F$2:$F$91="조치 권고") / ROW(고객사점검표!$E$2:$E$91),), ROW($B3)) - 1), "")</f>
        <v/>
      </c>
      <c r="G16" s="69" t="str">
        <f t="array" ref="G16">IFERROR(INDEX(고객사점검표!F$2:F$91, 1 / LARGE(INDEX((고객사점검표!$F$2:$F$91="조치 권고") / ROW(고객사점검표!$E$2:$E$91),), ROW($B3)) - 1), "")</f>
        <v/>
      </c>
      <c r="H16" s="72" t="str">
        <f t="array" ref="H16">IFERROR(INDEX(고객사점검표!G$2:G$91, 1 / LARGE(INDEX((고객사점검표!$F$2:$F$91="조치 권고") / ROW(고객사점검표!$E$2:$E$91),), ROW($B3)) - 1), "")</f>
        <v/>
      </c>
      <c r="I16" s="73"/>
      <c r="J16" s="73"/>
    </row>
    <row r="17" spans="1:10" ht="16.5">
      <c r="A17" s="73"/>
      <c r="B17" s="68" t="str">
        <f t="array" ref="B17">IFERROR(INDEX(고객사점검표!A$2:A$91, 1 / LARGE(INDEX((고객사점검표!$F$2:$F$91="조치 권고") / ROW(고객사점검표!$E$2:$E$91),), ROW($B4)) - 1), "")</f>
        <v/>
      </c>
      <c r="C17" s="69" t="str">
        <f t="array" ref="C17">IFERROR(INDEX(고객사점검표!B$2:B$91, 1 / LARGE(INDEX((고객사점검표!$F$2:$F$91="조치 권고") / ROW(고객사점검표!$E$2:$E$91),), ROW($B4)) - 1), "")</f>
        <v/>
      </c>
      <c r="D17" s="69" t="str">
        <f t="array" ref="D17">IFERROR(INDEX(고객사점검표!C$2:C$91, 1 / LARGE(INDEX((고객사점검표!$F$2:$F$91="조치 권고") / ROW(고객사점검표!$E$2:$E$91),), ROW($B4)) - 1), "")</f>
        <v/>
      </c>
      <c r="E17" s="70" t="str">
        <f t="array" ref="E17">IFERROR(INDEX(고객사점검표!D$2:D$91, 1 / LARGE(INDEX((고객사점검표!$F$2:$F$91="조치 권고") / ROW(고객사점검표!$E$2:$E$91),), ROW($B4)) - 1), "")</f>
        <v/>
      </c>
      <c r="F17" s="71" t="str">
        <f t="array" ref="F17">IFERROR(INDEX(고객사점검표!E$2:E$91, 1 / LARGE(INDEX((고객사점검표!$F$2:$F$91="조치 권고") / ROW(고객사점검표!$E$2:$E$91),), ROW($B4)) - 1), "")</f>
        <v/>
      </c>
      <c r="G17" s="69" t="str">
        <f t="array" ref="G17">IFERROR(INDEX(고객사점검표!F$2:F$91, 1 / LARGE(INDEX((고객사점검표!$F$2:$F$91="조치 권고") / ROW(고객사점검표!$E$2:$E$91),), ROW($B4)) - 1), "")</f>
        <v/>
      </c>
      <c r="H17" s="72" t="str">
        <f t="array" ref="H17">IFERROR(INDEX(고객사점검표!G$2:G$91, 1 / LARGE(INDEX((고객사점검표!$F$2:$F$91="조치 권고") / ROW(고객사점검표!$E$2:$E$91),), ROW($B4)) - 1), "")</f>
        <v/>
      </c>
      <c r="I17" s="73"/>
      <c r="J17" s="73"/>
    </row>
    <row r="18" spans="1:10" ht="16.5">
      <c r="A18" s="73"/>
      <c r="B18" s="68" t="str">
        <f t="array" ref="B18">IFERROR(INDEX(고객사점검표!A$2:A$91, 1 / LARGE(INDEX((고객사점검표!$F$2:$F$91="조치 권고") / ROW(고객사점검표!$E$2:$E$91),), ROW($B5)) - 1), "")</f>
        <v/>
      </c>
      <c r="C18" s="69" t="str">
        <f t="array" ref="C18">IFERROR(INDEX(고객사점검표!B$2:B$91, 1 / LARGE(INDEX((고객사점검표!$F$2:$F$91="조치 권고") / ROW(고객사점검표!$E$2:$E$91),), ROW($B5)) - 1), "")</f>
        <v/>
      </c>
      <c r="D18" s="69" t="str">
        <f t="array" ref="D18">IFERROR(INDEX(고객사점검표!C$2:C$91, 1 / LARGE(INDEX((고객사점검표!$F$2:$F$91="조치 권고") / ROW(고객사점검표!$E$2:$E$91),), ROW($B5)) - 1), "")</f>
        <v/>
      </c>
      <c r="E18" s="70" t="str">
        <f t="array" ref="E18">IFERROR(INDEX(고객사점검표!D$2:D$91, 1 / LARGE(INDEX((고객사점검표!$F$2:$F$91="조치 권고") / ROW(고객사점검표!$E$2:$E$91),), ROW($B5)) - 1), "")</f>
        <v/>
      </c>
      <c r="F18" s="71" t="str">
        <f t="array" ref="F18">IFERROR(INDEX(고객사점검표!E$2:E$91, 1 / LARGE(INDEX((고객사점검표!$F$2:$F$91="조치 권고") / ROW(고객사점검표!$E$2:$E$91),), ROW($B5)) - 1), "")</f>
        <v/>
      </c>
      <c r="G18" s="69" t="str">
        <f t="array" ref="G18">IFERROR(INDEX(고객사점검표!F$2:F$91, 1 / LARGE(INDEX((고객사점검표!$F$2:$F$91="조치 권고") / ROW(고객사점검표!$E$2:$E$91),), ROW($B5)) - 1), "")</f>
        <v/>
      </c>
      <c r="H18" s="72" t="str">
        <f t="array" ref="H18">IFERROR(INDEX(고객사점검표!G$2:G$91, 1 / LARGE(INDEX((고객사점검표!$F$2:$F$91="조치 권고") / ROW(고객사점검표!$E$2:$E$91),), ROW($B5)) - 1), "")</f>
        <v/>
      </c>
      <c r="I18" s="73"/>
      <c r="J18" s="73"/>
    </row>
    <row r="19" spans="1:10" ht="16.5">
      <c r="A19" s="73"/>
      <c r="B19" s="68" t="str">
        <f t="array" ref="B19">IFERROR(INDEX(고객사점검표!A$2:A$91, 1 / LARGE(INDEX((고객사점검표!$F$2:$F$91="조치 권고") / ROW(고객사점검표!$E$2:$E$91),), ROW($B6)) - 1), "")</f>
        <v/>
      </c>
      <c r="C19" s="69" t="str">
        <f t="array" ref="C19">IFERROR(INDEX(고객사점검표!B$2:B$91, 1 / LARGE(INDEX((고객사점검표!$F$2:$F$91="조치 권고") / ROW(고객사점검표!$E$2:$E$91),), ROW($B6)) - 1), "")</f>
        <v/>
      </c>
      <c r="D19" s="69" t="str">
        <f t="array" ref="D19">IFERROR(INDEX(고객사점검표!C$2:C$91, 1 / LARGE(INDEX((고객사점검표!$F$2:$F$91="조치 권고") / ROW(고객사점검표!$E$2:$E$91),), ROW($B6)) - 1), "")</f>
        <v/>
      </c>
      <c r="E19" s="70" t="str">
        <f t="array" ref="E19">IFERROR(INDEX(고객사점검표!D$2:D$91, 1 / LARGE(INDEX((고객사점검표!$F$2:$F$91="조치 권고") / ROW(고객사점검표!$E$2:$E$91),), ROW($B6)) - 1), "")</f>
        <v/>
      </c>
      <c r="F19" s="71" t="str">
        <f t="array" ref="F19">IFERROR(INDEX(고객사점검표!E$2:E$91, 1 / LARGE(INDEX((고객사점검표!$F$2:$F$91="조치 권고") / ROW(고객사점검표!$E$2:$E$91),), ROW($B6)) - 1), "")</f>
        <v/>
      </c>
      <c r="G19" s="69" t="str">
        <f t="array" ref="G19">IFERROR(INDEX(고객사점검표!F$2:F$91, 1 / LARGE(INDEX((고객사점검표!$F$2:$F$91="조치 권고") / ROW(고객사점검표!$E$2:$E$91),), ROW($B6)) - 1), "")</f>
        <v/>
      </c>
      <c r="H19" s="72" t="str">
        <f t="array" ref="H19">IFERROR(INDEX(고객사점검표!G$2:G$91, 1 / LARGE(INDEX((고객사점검표!$F$2:$F$91="조치 권고") / ROW(고객사점검표!$E$2:$E$91),), ROW($B6)) - 1), "")</f>
        <v/>
      </c>
      <c r="I19" s="73"/>
      <c r="J19" s="73"/>
    </row>
    <row r="20" spans="1:10" ht="16.5">
      <c r="A20" s="73"/>
      <c r="B20" s="68" t="str">
        <f t="array" ref="B20">IFERROR(INDEX(고객사점검표!A$2:A$91, 1 / LARGE(INDEX((고객사점검표!$F$2:$F$91="조치 권고") / ROW(고객사점검표!$E$2:$E$91),), ROW($B7)) - 1), "")</f>
        <v/>
      </c>
      <c r="C20" s="69" t="str">
        <f t="array" ref="C20">IFERROR(INDEX(고객사점검표!B$2:B$91, 1 / LARGE(INDEX((고객사점검표!$F$2:$F$91="조치 권고") / ROW(고객사점검표!$E$2:$E$91),), ROW($B7)) - 1), "")</f>
        <v/>
      </c>
      <c r="D20" s="69" t="str">
        <f t="array" ref="D20">IFERROR(INDEX(고객사점검표!C$2:C$91, 1 / LARGE(INDEX((고객사점검표!$F$2:$F$91="조치 권고") / ROW(고객사점검표!$E$2:$E$91),), ROW($B7)) - 1), "")</f>
        <v/>
      </c>
      <c r="E20" s="70" t="str">
        <f t="array" ref="E20">IFERROR(INDEX(고객사점검표!D$2:D$91, 1 / LARGE(INDEX((고객사점검표!$F$2:$F$91="조치 권고") / ROW(고객사점검표!$E$2:$E$91),), ROW($B7)) - 1), "")</f>
        <v/>
      </c>
      <c r="F20" s="71" t="str">
        <f t="array" ref="F20">IFERROR(INDEX(고객사점검표!E$2:E$91, 1 / LARGE(INDEX((고객사점검표!$F$2:$F$91="조치 권고") / ROW(고객사점검표!$E$2:$E$91),), ROW($B7)) - 1), "")</f>
        <v/>
      </c>
      <c r="G20" s="69" t="str">
        <f t="array" ref="G20">IFERROR(INDEX(고객사점검표!F$2:F$91, 1 / LARGE(INDEX((고객사점검표!$F$2:$F$91="조치 권고") / ROW(고객사점검표!$E$2:$E$91),), ROW($B7)) - 1), "")</f>
        <v/>
      </c>
      <c r="H20" s="72" t="str">
        <f t="array" ref="H20">IFERROR(INDEX(고객사점검표!G$2:G$91, 1 / LARGE(INDEX((고객사점검표!$F$2:$F$91="조치 권고") / ROW(고객사점검표!$E$2:$E$91),), ROW($B7)) - 1), "")</f>
        <v/>
      </c>
      <c r="I20" s="73"/>
      <c r="J20" s="73"/>
    </row>
    <row r="21" spans="1:10" ht="16.5">
      <c r="A21" s="73"/>
      <c r="B21" s="68" t="str">
        <f t="array" ref="B21">IFERROR(INDEX(고객사점검표!A$2:A$91, 1 / LARGE(INDEX((고객사점검표!$F$2:$F$91="조치 권고") / ROW(고객사점검표!$E$2:$E$91),), ROW($B8)) - 1), "")</f>
        <v/>
      </c>
      <c r="C21" s="69" t="str">
        <f t="array" ref="C21">IFERROR(INDEX(고객사점검표!B$2:B$91, 1 / LARGE(INDEX((고객사점검표!$F$2:$F$91="조치 권고") / ROW(고객사점검표!$E$2:$E$91),), ROW($B8)) - 1), "")</f>
        <v/>
      </c>
      <c r="D21" s="69" t="str">
        <f t="array" ref="D21">IFERROR(INDEX(고객사점검표!C$2:C$91, 1 / LARGE(INDEX((고객사점검표!$F$2:$F$91="조치 권고") / ROW(고객사점검표!$E$2:$E$91),), ROW($B8)) - 1), "")</f>
        <v/>
      </c>
      <c r="E21" s="70" t="str">
        <f t="array" ref="E21">IFERROR(INDEX(고객사점검표!D$2:D$91, 1 / LARGE(INDEX((고객사점검표!$F$2:$F$91="조치 권고") / ROW(고객사점검표!$E$2:$E$91),), ROW($B8)) - 1), "")</f>
        <v/>
      </c>
      <c r="F21" s="71" t="str">
        <f t="array" ref="F21">IFERROR(INDEX(고객사점검표!E$2:E$91, 1 / LARGE(INDEX((고객사점검표!$F$2:$F$91="조치 권고") / ROW(고객사점검표!$E$2:$E$91),), ROW($B8)) - 1), "")</f>
        <v/>
      </c>
      <c r="G21" s="69" t="str">
        <f t="array" ref="G21">IFERROR(INDEX(고객사점검표!F$2:F$91, 1 / LARGE(INDEX((고객사점검표!$F$2:$F$91="조치 권고") / ROW(고객사점검표!$E$2:$E$91),), ROW($B8)) - 1), "")</f>
        <v/>
      </c>
      <c r="H21" s="72" t="str">
        <f t="array" ref="H21">IFERROR(INDEX(고객사점검표!G$2:G$91, 1 / LARGE(INDEX((고객사점검표!$F$2:$F$91="조치 권고") / ROW(고객사점검표!$E$2:$E$91),), ROW($B8)) - 1), "")</f>
        <v/>
      </c>
      <c r="I21" s="73"/>
      <c r="J21" s="73"/>
    </row>
    <row r="22" spans="1:10" ht="16.5">
      <c r="A22" s="73"/>
      <c r="B22" s="68" t="str">
        <f t="array" ref="B22">IFERROR(INDEX(고객사점검표!A$2:A$91, 1 / LARGE(INDEX((고객사점검표!$F$2:$F$91="조치 권고") / ROW(고객사점검표!$E$2:$E$91),), ROW($B9)) - 1), "")</f>
        <v/>
      </c>
      <c r="C22" s="69" t="str">
        <f t="array" ref="C22">IFERROR(INDEX(고객사점검표!B$2:B$91, 1 / LARGE(INDEX((고객사점검표!$F$2:$F$91="조치 권고") / ROW(고객사점검표!$E$2:$E$91),), ROW($B9)) - 1), "")</f>
        <v/>
      </c>
      <c r="D22" s="69" t="str">
        <f t="array" ref="D22">IFERROR(INDEX(고객사점검표!C$2:C$91, 1 / LARGE(INDEX((고객사점검표!$F$2:$F$91="조치 권고") / ROW(고객사점검표!$E$2:$E$91),), ROW($B9)) - 1), "")</f>
        <v/>
      </c>
      <c r="E22" s="70" t="str">
        <f t="array" ref="E22">IFERROR(INDEX(고객사점검표!D$2:D$91, 1 / LARGE(INDEX((고객사점검표!$F$2:$F$91="조치 권고") / ROW(고객사점검표!$E$2:$E$91),), ROW($B9)) - 1), "")</f>
        <v/>
      </c>
      <c r="F22" s="71" t="str">
        <f t="array" ref="F22">IFERROR(INDEX(고객사점검표!E$2:E$91, 1 / LARGE(INDEX((고객사점검표!$F$2:$F$91="조치 권고") / ROW(고객사점검표!$E$2:$E$91),), ROW($B9)) - 1), "")</f>
        <v/>
      </c>
      <c r="G22" s="69" t="str">
        <f t="array" ref="G22">IFERROR(INDEX(고객사점검표!F$2:F$91, 1 / LARGE(INDEX((고객사점검표!$F$2:$F$91="조치 권고") / ROW(고객사점검표!$E$2:$E$91),), ROW($B9)) - 1), "")</f>
        <v/>
      </c>
      <c r="H22" s="72" t="str">
        <f t="array" ref="H22">IFERROR(INDEX(고객사점검표!G$2:G$91, 1 / LARGE(INDEX((고객사점검표!$F$2:$F$91="조치 권고") / ROW(고객사점검표!$E$2:$E$91),), ROW($B9)) - 1), "")</f>
        <v/>
      </c>
      <c r="I22" s="73"/>
      <c r="J22" s="73"/>
    </row>
    <row r="23" spans="1:10" ht="16.5">
      <c r="A23" s="73"/>
      <c r="B23" s="68" t="str">
        <f t="array" ref="B23">IFERROR(INDEX(고객사점검표!A$2:A$91, 1 / LARGE(INDEX((고객사점검표!$F$2:$F$91="조치 권고") / ROW(고객사점검표!$E$2:$E$91),), ROW($B10)) - 1), "")</f>
        <v/>
      </c>
      <c r="C23" s="69" t="str">
        <f t="array" ref="C23">IFERROR(INDEX(고객사점검표!B$2:B$91, 1 / LARGE(INDEX((고객사점검표!$F$2:$F$91="조치 권고") / ROW(고객사점검표!$E$2:$E$91),), ROW($B10)) - 1), "")</f>
        <v/>
      </c>
      <c r="D23" s="69" t="str">
        <f t="array" ref="D23">IFERROR(INDEX(고객사점검표!C$2:C$91, 1 / LARGE(INDEX((고객사점검표!$F$2:$F$91="조치 권고") / ROW(고객사점검표!$E$2:$E$91),), ROW($B10)) - 1), "")</f>
        <v/>
      </c>
      <c r="E23" s="70" t="str">
        <f t="array" ref="E23">IFERROR(INDEX(고객사점검표!D$2:D$91, 1 / LARGE(INDEX((고객사점검표!$F$2:$F$91="조치 권고") / ROW(고객사점검표!$E$2:$E$91),), ROW($B10)) - 1), "")</f>
        <v/>
      </c>
      <c r="F23" s="71" t="str">
        <f t="array" ref="F23">IFERROR(INDEX(고객사점검표!E$2:E$91, 1 / LARGE(INDEX((고객사점검표!$F$2:$F$91="조치 권고") / ROW(고객사점검표!$E$2:$E$91),), ROW($B10)) - 1), "")</f>
        <v/>
      </c>
      <c r="G23" s="69" t="str">
        <f t="array" ref="G23">IFERROR(INDEX(고객사점검표!F$2:F$91, 1 / LARGE(INDEX((고객사점검표!$F$2:$F$91="조치 권고") / ROW(고객사점검표!$E$2:$E$91),), ROW($B10)) - 1), "")</f>
        <v/>
      </c>
      <c r="H23" s="72" t="str">
        <f t="array" ref="H23">IFERROR(INDEX(고객사점검표!G$2:G$91, 1 / LARGE(INDEX((고객사점검표!$F$2:$F$91="조치 권고") / ROW(고객사점검표!$E$2:$E$91),), ROW($B10)) - 1), "")</f>
        <v/>
      </c>
      <c r="I23" s="73"/>
      <c r="J23" s="73"/>
    </row>
    <row r="24" spans="1:10" ht="16.5">
      <c r="A24" s="73"/>
      <c r="B24" s="68" t="str">
        <f t="array" ref="B24">IFERROR(INDEX(고객사점검표!A$2:A$91, 1 / LARGE(INDEX((고객사점검표!$F$2:$F$91="조치 권고") / ROW(고객사점검표!$E$2:$E$91),), ROW($B11)) - 1), "")</f>
        <v/>
      </c>
      <c r="C24" s="69" t="str">
        <f t="array" ref="C24">IFERROR(INDEX(고객사점검표!B$2:B$91, 1 / LARGE(INDEX((고객사점검표!$F$2:$F$91="조치 권고") / ROW(고객사점검표!$E$2:$E$91),), ROW($B11)) - 1), "")</f>
        <v/>
      </c>
      <c r="D24" s="69" t="str">
        <f t="array" ref="D24">IFERROR(INDEX(고객사점검표!C$2:C$91, 1 / LARGE(INDEX((고객사점검표!$F$2:$F$91="조치 권고") / ROW(고객사점검표!$E$2:$E$91),), ROW($B11)) - 1), "")</f>
        <v/>
      </c>
      <c r="E24" s="70" t="str">
        <f t="array" ref="E24">IFERROR(INDEX(고객사점검표!D$2:D$91, 1 / LARGE(INDEX((고객사점검표!$F$2:$F$91="조치 권고") / ROW(고객사점검표!$E$2:$E$91),), ROW($B11)) - 1), "")</f>
        <v/>
      </c>
      <c r="F24" s="71" t="str">
        <f t="array" ref="F24">IFERROR(INDEX(고객사점검표!E$2:E$91, 1 / LARGE(INDEX((고객사점검표!$F$2:$F$91="조치 권고") / ROW(고객사점검표!$E$2:$E$91),), ROW($B11)) - 1), "")</f>
        <v/>
      </c>
      <c r="G24" s="69" t="str">
        <f t="array" ref="G24">IFERROR(INDEX(고객사점검표!F$2:F$91, 1 / LARGE(INDEX((고객사점검표!$F$2:$F$91="조치 권고") / ROW(고객사점검표!$E$2:$E$91),), ROW($B11)) - 1), "")</f>
        <v/>
      </c>
      <c r="H24" s="72" t="str">
        <f t="array" ref="H24">IFERROR(INDEX(고객사점검표!G$2:G$91, 1 / LARGE(INDEX((고객사점검표!$F$2:$F$91="조치 권고") / ROW(고객사점검표!$E$2:$E$91),), ROW($B11)) - 1), "")</f>
        <v/>
      </c>
      <c r="I24" s="73"/>
      <c r="J24" s="73"/>
    </row>
    <row r="25" spans="1:10" ht="16.5">
      <c r="A25" s="73"/>
      <c r="B25" s="68" t="str">
        <f t="array" ref="B25">IFERROR(INDEX(고객사점검표!A$2:A$91, 1 / LARGE(INDEX((고객사점검표!$F$2:$F$91="조치 권고") / ROW(고객사점검표!$E$2:$E$91),), ROW($B12)) - 1), "")</f>
        <v/>
      </c>
      <c r="C25" s="69" t="str">
        <f t="array" ref="C25">IFERROR(INDEX(고객사점검표!B$2:B$91, 1 / LARGE(INDEX((고객사점검표!$F$2:$F$91="조치 권고") / ROW(고객사점검표!$E$2:$E$91),), ROW($B12)) - 1), "")</f>
        <v/>
      </c>
      <c r="D25" s="69" t="str">
        <f t="array" ref="D25">IFERROR(INDEX(고객사점검표!C$2:C$91, 1 / LARGE(INDEX((고객사점검표!$F$2:$F$91="조치 권고") / ROW(고객사점검표!$E$2:$E$91),), ROW($B12)) - 1), "")</f>
        <v/>
      </c>
      <c r="E25" s="70" t="str">
        <f t="array" ref="E25">IFERROR(INDEX(고객사점검표!D$2:D$91, 1 / LARGE(INDEX((고객사점검표!$F$2:$F$91="조치 권고") / ROW(고객사점검표!$E$2:$E$91),), ROW($B12)) - 1), "")</f>
        <v/>
      </c>
      <c r="F25" s="71" t="str">
        <f t="array" ref="F25">IFERROR(INDEX(고객사점검표!E$2:E$91, 1 / LARGE(INDEX((고객사점검표!$F$2:$F$91="조치 권고") / ROW(고객사점검표!$E$2:$E$91),), ROW($B12)) - 1), "")</f>
        <v/>
      </c>
      <c r="G25" s="69" t="str">
        <f t="array" ref="G25">IFERROR(INDEX(고객사점검표!F$2:F$91, 1 / LARGE(INDEX((고객사점검표!$F$2:$F$91="조치 권고") / ROW(고객사점검표!$E$2:$E$91),), ROW($B12)) - 1), "")</f>
        <v/>
      </c>
      <c r="H25" s="72" t="str">
        <f t="array" ref="H25">IFERROR(INDEX(고객사점검표!G$2:G$91, 1 / LARGE(INDEX((고객사점검표!$F$2:$F$91="조치 권고") / ROW(고객사점검표!$E$2:$E$91),), ROW($B12)) - 1), "")</f>
        <v/>
      </c>
      <c r="I25" s="73"/>
      <c r="J25" s="73"/>
    </row>
    <row r="26" spans="1:10" ht="16.5">
      <c r="A26" s="73"/>
      <c r="B26" s="68" t="str">
        <f t="array" ref="B26">IFERROR(INDEX(고객사점검표!A$2:A$91, 1 / LARGE(INDEX((고객사점검표!$F$2:$F$91="조치 권고") / ROW(고객사점검표!$E$2:$E$91),), ROW($B13)) - 1), "")</f>
        <v/>
      </c>
      <c r="C26" s="69" t="str">
        <f t="array" ref="C26">IFERROR(INDEX(고객사점검표!B$2:B$91, 1 / LARGE(INDEX((고객사점검표!$F$2:$F$91="조치 권고") / ROW(고객사점검표!$E$2:$E$91),), ROW($B13)) - 1), "")</f>
        <v/>
      </c>
      <c r="D26" s="69" t="str">
        <f t="array" ref="D26">IFERROR(INDEX(고객사점검표!C$2:C$91, 1 / LARGE(INDEX((고객사점검표!$F$2:$F$91="조치 권고") / ROW(고객사점검표!$E$2:$E$91),), ROW($B13)) - 1), "")</f>
        <v/>
      </c>
      <c r="E26" s="70" t="str">
        <f t="array" ref="E26">IFERROR(INDEX(고객사점검표!D$2:D$91, 1 / LARGE(INDEX((고객사점검표!$F$2:$F$91="조치 권고") / ROW(고객사점검표!$E$2:$E$91),), ROW($B13)) - 1), "")</f>
        <v/>
      </c>
      <c r="F26" s="71" t="str">
        <f t="array" ref="F26">IFERROR(INDEX(고객사점검표!E$2:E$91, 1 / LARGE(INDEX((고객사점검표!$F$2:$F$91="조치 권고") / ROW(고객사점검표!$E$2:$E$91),), ROW($B13)) - 1), "")</f>
        <v/>
      </c>
      <c r="G26" s="69" t="str">
        <f t="array" ref="G26">IFERROR(INDEX(고객사점검표!F$2:F$91, 1 / LARGE(INDEX((고객사점검표!$F$2:$F$91="조치 권고") / ROW(고객사점검표!$E$2:$E$91),), ROW($B13)) - 1), "")</f>
        <v/>
      </c>
      <c r="H26" s="72" t="str">
        <f t="array" ref="H26">IFERROR(INDEX(고객사점검표!G$2:G$91, 1 / LARGE(INDEX((고객사점검표!$F$2:$F$91="조치 권고") / ROW(고객사점검표!$E$2:$E$91),), ROW($B13)) - 1), "")</f>
        <v/>
      </c>
      <c r="I26" s="73"/>
      <c r="J26" s="73"/>
    </row>
    <row r="27" spans="1:10" ht="16.5">
      <c r="A27" s="73"/>
      <c r="B27" s="68" t="str">
        <f t="array" ref="B27">IFERROR(INDEX(고객사점검표!A$2:A$91, 1 / LARGE(INDEX((고객사점검표!$F$2:$F$91="조치 권고") / ROW(고객사점검표!$E$2:$E$91),), ROW($B14)) - 1), "")</f>
        <v/>
      </c>
      <c r="C27" s="69" t="str">
        <f t="array" ref="C27">IFERROR(INDEX(고객사점검표!B$2:B$91, 1 / LARGE(INDEX((고객사점검표!$F$2:$F$91="조치 권고") / ROW(고객사점검표!$E$2:$E$91),), ROW($B14)) - 1), "")</f>
        <v/>
      </c>
      <c r="D27" s="69" t="str">
        <f t="array" ref="D27">IFERROR(INDEX(고객사점검표!C$2:C$91, 1 / LARGE(INDEX((고객사점검표!$F$2:$F$91="조치 권고") / ROW(고객사점검표!$E$2:$E$91),), ROW($B14)) - 1), "")</f>
        <v/>
      </c>
      <c r="E27" s="70" t="str">
        <f t="array" ref="E27">IFERROR(INDEX(고객사점검표!D$2:D$91, 1 / LARGE(INDEX((고객사점검표!$F$2:$F$91="조치 권고") / ROW(고객사점검표!$E$2:$E$91),), ROW($B14)) - 1), "")</f>
        <v/>
      </c>
      <c r="F27" s="71" t="str">
        <f t="array" ref="F27">IFERROR(INDEX(고객사점검표!E$2:E$91, 1 / LARGE(INDEX((고객사점검표!$F$2:$F$91="조치 권고") / ROW(고객사점검표!$E$2:$E$91),), ROW($B14)) - 1), "")</f>
        <v/>
      </c>
      <c r="G27" s="69" t="str">
        <f t="array" ref="G27">IFERROR(INDEX(고객사점검표!F$2:F$91, 1 / LARGE(INDEX((고객사점검표!$F$2:$F$91="조치 권고") / ROW(고객사점검표!$E$2:$E$91),), ROW($B14)) - 1), "")</f>
        <v/>
      </c>
      <c r="H27" s="72" t="str">
        <f t="array" ref="H27">IFERROR(INDEX(고객사점검표!G$2:G$91, 1 / LARGE(INDEX((고객사점검표!$F$2:$F$91="조치 권고") / ROW(고객사점검표!$E$2:$E$91),), ROW($B14)) - 1), "")</f>
        <v/>
      </c>
      <c r="I27" s="73"/>
      <c r="J27" s="73"/>
    </row>
    <row r="28" spans="1:10" ht="16.5">
      <c r="A28" s="73"/>
      <c r="B28" s="68" t="str">
        <f t="array" ref="B28">IFERROR(INDEX(고객사점검표!A$2:A$91, 1 / LARGE(INDEX((고객사점검표!$F$2:$F$91="조치 권고") / ROW(고객사점검표!$E$2:$E$91),), ROW($B15)) - 1), "")</f>
        <v/>
      </c>
      <c r="C28" s="69" t="str">
        <f t="array" ref="C28">IFERROR(INDEX(고객사점검표!B$2:B$91, 1 / LARGE(INDEX((고객사점검표!$F$2:$F$91="조치 권고") / ROW(고객사점검표!$E$2:$E$91),), ROW($B15)) - 1), "")</f>
        <v/>
      </c>
      <c r="D28" s="69" t="str">
        <f t="array" ref="D28">IFERROR(INDEX(고객사점검표!C$2:C$91, 1 / LARGE(INDEX((고객사점검표!$F$2:$F$91="조치 권고") / ROW(고객사점검표!$E$2:$E$91),), ROW($B15)) - 1), "")</f>
        <v/>
      </c>
      <c r="E28" s="70" t="str">
        <f t="array" ref="E28">IFERROR(INDEX(고객사점검표!D$2:D$91, 1 / LARGE(INDEX((고객사점검표!$F$2:$F$91="조치 권고") / ROW(고객사점검표!$E$2:$E$91),), ROW($B15)) - 1), "")</f>
        <v/>
      </c>
      <c r="F28" s="71" t="str">
        <f t="array" ref="F28">IFERROR(INDEX(고객사점검표!E$2:E$91, 1 / LARGE(INDEX((고객사점검표!$F$2:$F$91="조치 권고") / ROW(고객사점검표!$E$2:$E$91),), ROW($B15)) - 1), "")</f>
        <v/>
      </c>
      <c r="G28" s="69" t="str">
        <f t="array" ref="G28">IFERROR(INDEX(고객사점검표!F$2:F$91, 1 / LARGE(INDEX((고객사점검표!$F$2:$F$91="조치 권고") / ROW(고객사점검표!$E$2:$E$91),), ROW($B15)) - 1), "")</f>
        <v/>
      </c>
      <c r="H28" s="72" t="str">
        <f t="array" ref="H28">IFERROR(INDEX(고객사점검표!G$2:G$91, 1 / LARGE(INDEX((고객사점검표!$F$2:$F$91="조치 권고") / ROW(고객사점검표!$E$2:$E$91),), ROW($B15)) - 1), "")</f>
        <v/>
      </c>
      <c r="I28" s="73"/>
      <c r="J28" s="73"/>
    </row>
    <row r="29" spans="1:10" ht="16.5">
      <c r="A29" s="73"/>
      <c r="B29" s="68" t="str">
        <f t="array" ref="B29">IFERROR(INDEX(고객사점검표!A$2:A$91, 1 / LARGE(INDEX((고객사점검표!$F$2:$F$91="조치 권고") / ROW(고객사점검표!$E$2:$E$91),), ROW($B16)) - 1), "")</f>
        <v/>
      </c>
      <c r="C29" s="69" t="str">
        <f t="array" ref="C29">IFERROR(INDEX(고객사점검표!B$2:B$91, 1 / LARGE(INDEX((고객사점검표!$F$2:$F$91="조치 권고") / ROW(고객사점검표!$E$2:$E$91),), ROW($B16)) - 1), "")</f>
        <v/>
      </c>
      <c r="D29" s="69" t="str">
        <f t="array" ref="D29">IFERROR(INDEX(고객사점검표!C$2:C$91, 1 / LARGE(INDEX((고객사점검표!$F$2:$F$91="조치 권고") / ROW(고객사점검표!$E$2:$E$91),), ROW($B16)) - 1), "")</f>
        <v/>
      </c>
      <c r="E29" s="70" t="str">
        <f t="array" ref="E29">IFERROR(INDEX(고객사점검표!D$2:D$91, 1 / LARGE(INDEX((고객사점검표!$F$2:$F$91="조치 권고") / ROW(고객사점검표!$E$2:$E$91),), ROW($B16)) - 1), "")</f>
        <v/>
      </c>
      <c r="F29" s="71" t="str">
        <f t="array" ref="F29">IFERROR(INDEX(고객사점검표!E$2:E$91, 1 / LARGE(INDEX((고객사점검표!$F$2:$F$91="조치 권고") / ROW(고객사점검표!$E$2:$E$91),), ROW($B16)) - 1), "")</f>
        <v/>
      </c>
      <c r="G29" s="69" t="str">
        <f t="array" ref="G29">IFERROR(INDEX(고객사점검표!F$2:F$91, 1 / LARGE(INDEX((고객사점검표!$F$2:$F$91="조치 권고") / ROW(고객사점검표!$E$2:$E$91),), ROW($B16)) - 1), "")</f>
        <v/>
      </c>
      <c r="H29" s="72" t="str">
        <f t="array" ref="H29">IFERROR(INDEX(고객사점검표!G$2:G$91, 1 / LARGE(INDEX((고객사점검표!$F$2:$F$91="조치 권고") / ROW(고객사점검표!$E$2:$E$91),), ROW($B16)) - 1), "")</f>
        <v/>
      </c>
      <c r="I29" s="73"/>
      <c r="J29" s="73"/>
    </row>
    <row r="30" spans="1:10" ht="16.5">
      <c r="A30" s="73"/>
      <c r="B30" s="68" t="str">
        <f t="array" ref="B30">IFERROR(INDEX(고객사점검표!A$2:A$91, 1 / LARGE(INDEX((고객사점검표!$F$2:$F$91="조치 권고") / ROW(고객사점검표!$E$2:$E$91),), ROW($B17)) - 1), "")</f>
        <v/>
      </c>
      <c r="C30" s="69" t="str">
        <f t="array" ref="C30">IFERROR(INDEX(고객사점검표!B$2:B$91, 1 / LARGE(INDEX((고객사점검표!$F$2:$F$91="조치 권고") / ROW(고객사점검표!$E$2:$E$91),), ROW($B17)) - 1), "")</f>
        <v/>
      </c>
      <c r="D30" s="69" t="str">
        <f t="array" ref="D30">IFERROR(INDEX(고객사점검표!C$2:C$91, 1 / LARGE(INDEX((고객사점검표!$F$2:$F$91="조치 권고") / ROW(고객사점검표!$E$2:$E$91),), ROW($B17)) - 1), "")</f>
        <v/>
      </c>
      <c r="E30" s="70" t="str">
        <f t="array" ref="E30">IFERROR(INDEX(고객사점검표!D$2:D$91, 1 / LARGE(INDEX((고객사점검표!$F$2:$F$91="조치 권고") / ROW(고객사점검표!$E$2:$E$91),), ROW($B17)) - 1), "")</f>
        <v/>
      </c>
      <c r="F30" s="71" t="str">
        <f t="array" ref="F30">IFERROR(INDEX(고객사점검표!E$2:E$91, 1 / LARGE(INDEX((고객사점검표!$F$2:$F$91="조치 권고") / ROW(고객사점검표!$E$2:$E$91),), ROW($B17)) - 1), "")</f>
        <v/>
      </c>
      <c r="G30" s="69" t="str">
        <f t="array" ref="G30">IFERROR(INDEX(고객사점검표!F$2:F$91, 1 / LARGE(INDEX((고객사점검표!$F$2:$F$91="조치 권고") / ROW(고객사점검표!$E$2:$E$91),), ROW($B17)) - 1), "")</f>
        <v/>
      </c>
      <c r="H30" s="72" t="str">
        <f t="array" ref="H30">IFERROR(INDEX(고객사점검표!G$2:G$91, 1 / LARGE(INDEX((고객사점검표!$F$2:$F$91="조치 권고") / ROW(고객사점검표!$E$2:$E$91),), ROW($B17)) - 1), "")</f>
        <v/>
      </c>
      <c r="I30" s="73"/>
      <c r="J30" s="73"/>
    </row>
    <row r="31" spans="1:10" ht="16.5">
      <c r="A31" s="73"/>
      <c r="B31" s="68" t="str">
        <f t="array" ref="B31">IFERROR(INDEX(고객사점검표!A$2:A$91, 1 / LARGE(INDEX((고객사점검표!$F$2:$F$91="조치 권고") / ROW(고객사점검표!$E$2:$E$91),), ROW($B18)) - 1), "")</f>
        <v/>
      </c>
      <c r="C31" s="69" t="str">
        <f t="array" ref="C31">IFERROR(INDEX(고객사점검표!B$2:B$91, 1 / LARGE(INDEX((고객사점검표!$F$2:$F$91="조치 권고") / ROW(고객사점검표!$E$2:$E$91),), ROW($B18)) - 1), "")</f>
        <v/>
      </c>
      <c r="D31" s="69" t="str">
        <f t="array" ref="D31">IFERROR(INDEX(고객사점검표!C$2:C$91, 1 / LARGE(INDEX((고객사점검표!$F$2:$F$91="조치 권고") / ROW(고객사점검표!$E$2:$E$91),), ROW($B18)) - 1), "")</f>
        <v/>
      </c>
      <c r="E31" s="70" t="str">
        <f t="array" ref="E31">IFERROR(INDEX(고객사점검표!D$2:D$91, 1 / LARGE(INDEX((고객사점검표!$F$2:$F$91="조치 권고") / ROW(고객사점검표!$E$2:$E$91),), ROW($B18)) - 1), "")</f>
        <v/>
      </c>
      <c r="F31" s="71" t="str">
        <f t="array" ref="F31">IFERROR(INDEX(고객사점검표!E$2:E$91, 1 / LARGE(INDEX((고객사점검표!$F$2:$F$91="조치 권고") / ROW(고객사점검표!$E$2:$E$91),), ROW($B18)) - 1), "")</f>
        <v/>
      </c>
      <c r="G31" s="69" t="str">
        <f t="array" ref="G31">IFERROR(INDEX(고객사점검표!F$2:F$91, 1 / LARGE(INDEX((고객사점검표!$F$2:$F$91="조치 권고") / ROW(고객사점검표!$E$2:$E$91),), ROW($B18)) - 1), "")</f>
        <v/>
      </c>
      <c r="H31" s="72" t="str">
        <f t="array" ref="H31">IFERROR(INDEX(고객사점검표!G$2:G$91, 1 / LARGE(INDEX((고객사점검표!$F$2:$F$91="조치 권고") / ROW(고객사점검표!$E$2:$E$91),), ROW($B18)) - 1), "")</f>
        <v/>
      </c>
      <c r="I31" s="73"/>
      <c r="J31" s="73"/>
    </row>
    <row r="32" spans="1:10" ht="16.5">
      <c r="A32" s="73"/>
      <c r="B32" s="68" t="str">
        <f t="array" ref="B32">IFERROR(INDEX(고객사점검표!A$2:A$91, 1 / LARGE(INDEX((고객사점검표!$F$2:$F$91="조치 권고") / ROW(고객사점검표!$E$2:$E$91),), ROW($B19)) - 1), "")</f>
        <v/>
      </c>
      <c r="C32" s="69" t="str">
        <f t="array" ref="C32">IFERROR(INDEX(고객사점검표!B$2:B$91, 1 / LARGE(INDEX((고객사점검표!$F$2:$F$91="조치 권고") / ROW(고객사점검표!$E$2:$E$91),), ROW($B19)) - 1), "")</f>
        <v/>
      </c>
      <c r="D32" s="69" t="str">
        <f t="array" ref="D32">IFERROR(INDEX(고객사점검표!C$2:C$91, 1 / LARGE(INDEX((고객사점검표!$F$2:$F$91="조치 권고") / ROW(고객사점검표!$E$2:$E$91),), ROW($B19)) - 1), "")</f>
        <v/>
      </c>
      <c r="E32" s="70" t="str">
        <f t="array" ref="E32">IFERROR(INDEX(고객사점검표!D$2:D$91, 1 / LARGE(INDEX((고객사점검표!$F$2:$F$91="조치 권고") / ROW(고객사점검표!$E$2:$E$91),), ROW($B19)) - 1), "")</f>
        <v/>
      </c>
      <c r="F32" s="71" t="str">
        <f t="array" ref="F32">IFERROR(INDEX(고객사점검표!E$2:E$91, 1 / LARGE(INDEX((고객사점검표!$F$2:$F$91="조치 권고") / ROW(고객사점검표!$E$2:$E$91),), ROW($B19)) - 1), "")</f>
        <v/>
      </c>
      <c r="G32" s="69" t="str">
        <f t="array" ref="G32">IFERROR(INDEX(고객사점검표!F$2:F$91, 1 / LARGE(INDEX((고객사점검표!$F$2:$F$91="조치 권고") / ROW(고객사점검표!$E$2:$E$91),), ROW($B19)) - 1), "")</f>
        <v/>
      </c>
      <c r="H32" s="72" t="str">
        <f t="array" ref="H32">IFERROR(INDEX(고객사점검표!G$2:G$91, 1 / LARGE(INDEX((고객사점검표!$F$2:$F$91="조치 권고") / ROW(고객사점검표!$E$2:$E$91),), ROW($B19)) - 1), "")</f>
        <v/>
      </c>
      <c r="I32" s="73"/>
      <c r="J32" s="73"/>
    </row>
    <row r="33" spans="1:10" ht="16.5">
      <c r="A33" s="73"/>
      <c r="B33" s="68" t="str">
        <f t="array" ref="B33">IFERROR(INDEX(고객사점검표!A$2:A$91, 1 / LARGE(INDEX((고객사점검표!$F$2:$F$91="조치 권고") / ROW(고객사점검표!$E$2:$E$91),), ROW($B20)) - 1), "")</f>
        <v/>
      </c>
      <c r="C33" s="69" t="str">
        <f t="array" ref="C33">IFERROR(INDEX(고객사점검표!B$2:B$91, 1 / LARGE(INDEX((고객사점검표!$F$2:$F$91="조치 권고") / ROW(고객사점검표!$E$2:$E$91),), ROW($B20)) - 1), "")</f>
        <v/>
      </c>
      <c r="D33" s="69" t="str">
        <f t="array" ref="D33">IFERROR(INDEX(고객사점검표!C$2:C$91, 1 / LARGE(INDEX((고객사점검표!$F$2:$F$91="조치 권고") / ROW(고객사점검표!$E$2:$E$91),), ROW($B20)) - 1), "")</f>
        <v/>
      </c>
      <c r="E33" s="70" t="str">
        <f t="array" ref="E33">IFERROR(INDEX(고객사점검표!D$2:D$91, 1 / LARGE(INDEX((고객사점검표!$F$2:$F$91="조치 권고") / ROW(고객사점검표!$E$2:$E$91),), ROW($B20)) - 1), "")</f>
        <v/>
      </c>
      <c r="F33" s="71" t="str">
        <f t="array" ref="F33">IFERROR(INDEX(고객사점검표!E$2:E$91, 1 / LARGE(INDEX((고객사점검표!$F$2:$F$91="조치 권고") / ROW(고객사점검표!$E$2:$E$91),), ROW($B20)) - 1), "")</f>
        <v/>
      </c>
      <c r="G33" s="69" t="str">
        <f t="array" ref="G33">IFERROR(INDEX(고객사점검표!F$2:F$91, 1 / LARGE(INDEX((고객사점검표!$F$2:$F$91="조치 권고") / ROW(고객사점검표!$E$2:$E$91),), ROW($B20)) - 1), "")</f>
        <v/>
      </c>
      <c r="H33" s="72" t="str">
        <f t="array" ref="H33">IFERROR(INDEX(고객사점검표!G$2:G$91, 1 / LARGE(INDEX((고객사점검표!$F$2:$F$91="조치 권고") / ROW(고객사점검표!$E$2:$E$91),), ROW($B20)) - 1), "")</f>
        <v/>
      </c>
      <c r="I33" s="73"/>
      <c r="J33" s="73"/>
    </row>
    <row r="34" spans="1:10" ht="16.5">
      <c r="A34" s="73"/>
      <c r="B34" s="68" t="str">
        <f t="array" ref="B34">IFERROR(INDEX(고객사점검표!A$2:A$91, 1 / LARGE(INDEX((고객사점검표!$F$2:$F$91="조치 권고") / ROW(고객사점검표!$E$2:$E$91),), ROW($B21)) - 1), "")</f>
        <v/>
      </c>
      <c r="C34" s="69" t="str">
        <f t="array" ref="C34">IFERROR(INDEX(고객사점검표!B$2:B$91, 1 / LARGE(INDEX((고객사점검표!$F$2:$F$91="조치 권고") / ROW(고객사점검표!$E$2:$E$91),), ROW($B21)) - 1), "")</f>
        <v/>
      </c>
      <c r="D34" s="69" t="str">
        <f t="array" ref="D34">IFERROR(INDEX(고객사점검표!C$2:C$91, 1 / LARGE(INDEX((고객사점검표!$F$2:$F$91="조치 권고") / ROW(고객사점검표!$E$2:$E$91),), ROW($B21)) - 1), "")</f>
        <v/>
      </c>
      <c r="E34" s="70" t="str">
        <f t="array" ref="E34">IFERROR(INDEX(고객사점검표!D$2:D$91, 1 / LARGE(INDEX((고객사점검표!$F$2:$F$91="조치 권고") / ROW(고객사점검표!$E$2:$E$91),), ROW($B21)) - 1), "")</f>
        <v/>
      </c>
      <c r="F34" s="71" t="str">
        <f t="array" ref="F34">IFERROR(INDEX(고객사점검표!E$2:E$91, 1 / LARGE(INDEX((고객사점검표!$F$2:$F$91="조치 권고") / ROW(고객사점검표!$E$2:$E$91),), ROW($B21)) - 1), "")</f>
        <v/>
      </c>
      <c r="G34" s="69" t="str">
        <f t="array" ref="G34">IFERROR(INDEX(고객사점검표!F$2:F$91, 1 / LARGE(INDEX((고객사점검표!$F$2:$F$91="조치 권고") / ROW(고객사점검표!$E$2:$E$91),), ROW($B21)) - 1), "")</f>
        <v/>
      </c>
      <c r="H34" s="72" t="str">
        <f t="array" ref="H34">IFERROR(INDEX(고객사점검표!G$2:G$91, 1 / LARGE(INDEX((고객사점검표!$F$2:$F$91="조치 권고") / ROW(고객사점검표!$E$2:$E$91),), ROW($B21)) - 1), "")</f>
        <v/>
      </c>
      <c r="I34" s="73"/>
      <c r="J34" s="73"/>
    </row>
    <row r="35" spans="1:10" ht="16.5">
      <c r="A35" s="73"/>
      <c r="B35" s="68" t="str">
        <f t="array" ref="B35">IFERROR(INDEX(고객사점검표!A$2:A$91, 1 / LARGE(INDEX((고객사점검표!$F$2:$F$91="조치 권고") / ROW(고객사점검표!$E$2:$E$91),), ROW($B22)) - 1), "")</f>
        <v/>
      </c>
      <c r="C35" s="69" t="str">
        <f t="array" ref="C35">IFERROR(INDEX(고객사점검표!B$2:B$91, 1 / LARGE(INDEX((고객사점검표!$F$2:$F$91="조치 권고") / ROW(고객사점검표!$E$2:$E$91),), ROW($B22)) - 1), "")</f>
        <v/>
      </c>
      <c r="D35" s="69" t="str">
        <f t="array" ref="D35">IFERROR(INDEX(고객사점검표!C$2:C$91, 1 / LARGE(INDEX((고객사점검표!$F$2:$F$91="조치 권고") / ROW(고객사점검표!$E$2:$E$91),), ROW($B22)) - 1), "")</f>
        <v/>
      </c>
      <c r="E35" s="70" t="str">
        <f t="array" ref="E35">IFERROR(INDEX(고객사점검표!D$2:D$91, 1 / LARGE(INDEX((고객사점검표!$F$2:$F$91="조치 권고") / ROW(고객사점검표!$E$2:$E$91),), ROW($B22)) - 1), "")</f>
        <v/>
      </c>
      <c r="F35" s="71" t="str">
        <f t="array" ref="F35">IFERROR(INDEX(고객사점검표!E$2:E$91, 1 / LARGE(INDEX((고객사점검표!$F$2:$F$91="조치 권고") / ROW(고객사점검표!$E$2:$E$91),), ROW($B22)) - 1), "")</f>
        <v/>
      </c>
      <c r="G35" s="69" t="str">
        <f t="array" ref="G35">IFERROR(INDEX(고객사점검표!F$2:F$91, 1 / LARGE(INDEX((고객사점검표!$F$2:$F$91="조치 권고") / ROW(고객사점검표!$E$2:$E$91),), ROW($B22)) - 1), "")</f>
        <v/>
      </c>
      <c r="H35" s="72" t="str">
        <f t="array" ref="H35">IFERROR(INDEX(고객사점검표!G$2:G$91, 1 / LARGE(INDEX((고객사점검표!$F$2:$F$91="조치 권고") / ROW(고객사점검표!$E$2:$E$91),), ROW($B22)) - 1), "")</f>
        <v/>
      </c>
      <c r="I35" s="73"/>
      <c r="J35" s="73"/>
    </row>
    <row r="36" spans="1:10" ht="16.5">
      <c r="A36" s="73"/>
      <c r="B36" s="68" t="str">
        <f t="array" ref="B36">IFERROR(INDEX(고객사점검표!A$2:A$91, 1 / LARGE(INDEX((고객사점검표!$F$2:$F$91="조치 권고") / ROW(고객사점검표!$E$2:$E$91),), ROW($B23)) - 1), "")</f>
        <v/>
      </c>
      <c r="C36" s="69" t="str">
        <f t="array" ref="C36">IFERROR(INDEX(고객사점검표!B$2:B$91, 1 / LARGE(INDEX((고객사점검표!$F$2:$F$91="조치 권고") / ROW(고객사점검표!$E$2:$E$91),), ROW($B23)) - 1), "")</f>
        <v/>
      </c>
      <c r="D36" s="69" t="str">
        <f t="array" ref="D36">IFERROR(INDEX(고객사점검표!C$2:C$91, 1 / LARGE(INDEX((고객사점검표!$F$2:$F$91="조치 권고") / ROW(고객사점검표!$E$2:$E$91),), ROW($B23)) - 1), "")</f>
        <v/>
      </c>
      <c r="E36" s="70" t="str">
        <f t="array" ref="E36">IFERROR(INDEX(고객사점검표!D$2:D$91, 1 / LARGE(INDEX((고객사점검표!$F$2:$F$91="조치 권고") / ROW(고객사점검표!$E$2:$E$91),), ROW($B23)) - 1), "")</f>
        <v/>
      </c>
      <c r="F36" s="71" t="str">
        <f t="array" ref="F36">IFERROR(INDEX(고객사점검표!E$2:E$91, 1 / LARGE(INDEX((고객사점검표!$F$2:$F$91="조치 권고") / ROW(고객사점검표!$E$2:$E$91),), ROW($B23)) - 1), "")</f>
        <v/>
      </c>
      <c r="G36" s="69" t="str">
        <f t="array" ref="G36">IFERROR(INDEX(고객사점검표!F$2:F$91, 1 / LARGE(INDEX((고객사점검표!$F$2:$F$91="조치 권고") / ROW(고객사점검표!$E$2:$E$91),), ROW($B23)) - 1), "")</f>
        <v/>
      </c>
      <c r="H36" s="72" t="str">
        <f t="array" ref="H36">IFERROR(INDEX(고객사점검표!G$2:G$91, 1 / LARGE(INDEX((고객사점검표!$F$2:$F$91="조치 권고") / ROW(고객사점검표!$E$2:$E$91),), ROW($B23)) - 1), "")</f>
        <v/>
      </c>
      <c r="I36" s="73"/>
      <c r="J36" s="73"/>
    </row>
    <row r="37" spans="1:10" ht="16.5">
      <c r="A37" s="73"/>
      <c r="B37" s="68" t="str">
        <f t="array" ref="B37">IFERROR(INDEX(고객사점검표!A$2:A$91, 1 / LARGE(INDEX((고객사점검표!$F$2:$F$91="조치 권고") / ROW(고객사점검표!$E$2:$E$91),), ROW($B24)) - 1), "")</f>
        <v/>
      </c>
      <c r="C37" s="69" t="str">
        <f t="array" ref="C37">IFERROR(INDEX(고객사점검표!B$2:B$91, 1 / LARGE(INDEX((고객사점검표!$F$2:$F$91="조치 권고") / ROW(고객사점검표!$E$2:$E$91),), ROW($B24)) - 1), "")</f>
        <v/>
      </c>
      <c r="D37" s="69" t="str">
        <f t="array" ref="D37">IFERROR(INDEX(고객사점검표!C$2:C$91, 1 / LARGE(INDEX((고객사점검표!$F$2:$F$91="조치 권고") / ROW(고객사점검표!$E$2:$E$91),), ROW($B24)) - 1), "")</f>
        <v/>
      </c>
      <c r="E37" s="70" t="str">
        <f t="array" ref="E37">IFERROR(INDEX(고객사점검표!D$2:D$91, 1 / LARGE(INDEX((고객사점검표!$F$2:$F$91="조치 권고") / ROW(고객사점검표!$E$2:$E$91),), ROW($B24)) - 1), "")</f>
        <v/>
      </c>
      <c r="F37" s="71" t="str">
        <f t="array" ref="F37">IFERROR(INDEX(고객사점검표!E$2:E$91, 1 / LARGE(INDEX((고객사점검표!$F$2:$F$91="조치 권고") / ROW(고객사점검표!$E$2:$E$91),), ROW($B24)) - 1), "")</f>
        <v/>
      </c>
      <c r="G37" s="69" t="str">
        <f t="array" ref="G37">IFERROR(INDEX(고객사점검표!F$2:F$91, 1 / LARGE(INDEX((고객사점검표!$F$2:$F$91="조치 권고") / ROW(고객사점검표!$E$2:$E$91),), ROW($B24)) - 1), "")</f>
        <v/>
      </c>
      <c r="H37" s="72" t="str">
        <f t="array" ref="H37">IFERROR(INDEX(고객사점검표!G$2:G$91, 1 / LARGE(INDEX((고객사점검표!$F$2:$F$91="조치 권고") / ROW(고객사점검표!$E$2:$E$91),), ROW($B24)) - 1), "")</f>
        <v/>
      </c>
      <c r="I37" s="73"/>
      <c r="J37" s="73"/>
    </row>
    <row r="38" spans="1:10" ht="16.5">
      <c r="A38" s="73"/>
      <c r="B38" s="68" t="str">
        <f t="array" ref="B38">IFERROR(INDEX(고객사점검표!A$2:A$91, 1 / LARGE(INDEX((고객사점검표!$F$2:$F$91="조치 권고") / ROW(고객사점검표!$E$2:$E$91),), ROW($B25)) - 1), "")</f>
        <v/>
      </c>
      <c r="C38" s="69" t="str">
        <f t="array" ref="C38">IFERROR(INDEX(고객사점검표!B$2:B$91, 1 / LARGE(INDEX((고객사점검표!$F$2:$F$91="조치 권고") / ROW(고객사점검표!$E$2:$E$91),), ROW($B25)) - 1), "")</f>
        <v/>
      </c>
      <c r="D38" s="69" t="str">
        <f t="array" ref="D38">IFERROR(INDEX(고객사점검표!C$2:C$91, 1 / LARGE(INDEX((고객사점검표!$F$2:$F$91="조치 권고") / ROW(고객사점검표!$E$2:$E$91),), ROW($B25)) - 1), "")</f>
        <v/>
      </c>
      <c r="E38" s="70" t="str">
        <f t="array" ref="E38">IFERROR(INDEX(고객사점검표!D$2:D$91, 1 / LARGE(INDEX((고객사점검표!$F$2:$F$91="조치 권고") / ROW(고객사점검표!$E$2:$E$91),), ROW($B25)) - 1), "")</f>
        <v/>
      </c>
      <c r="F38" s="71" t="str">
        <f t="array" ref="F38">IFERROR(INDEX(고객사점검표!E$2:E$91, 1 / LARGE(INDEX((고객사점검표!$F$2:$F$91="조치 권고") / ROW(고객사점검표!$E$2:$E$91),), ROW($B25)) - 1), "")</f>
        <v/>
      </c>
      <c r="G38" s="69" t="str">
        <f t="array" ref="G38">IFERROR(INDEX(고객사점검표!F$2:F$91, 1 / LARGE(INDEX((고객사점검표!$F$2:$F$91="조치 권고") / ROW(고객사점검표!$E$2:$E$91),), ROW($B25)) - 1), "")</f>
        <v/>
      </c>
      <c r="H38" s="72" t="str">
        <f t="array" ref="H38">IFERROR(INDEX(고객사점검표!G$2:G$91, 1 / LARGE(INDEX((고객사점검표!$F$2:$F$91="조치 권고") / ROW(고객사점검표!$E$2:$E$91),), ROW($B25)) - 1), "")</f>
        <v/>
      </c>
      <c r="I38" s="73"/>
      <c r="J38" s="73"/>
    </row>
    <row r="39" spans="1:10" ht="16.5">
      <c r="A39" s="73"/>
      <c r="B39" s="68" t="str">
        <f t="array" ref="B39">IFERROR(INDEX(고객사점검표!A$2:A$91, 1 / LARGE(INDEX((고객사점검표!$F$2:$F$91="조치 권고") / ROW(고객사점검표!$E$2:$E$91),), ROW($B26)) - 1), "")</f>
        <v/>
      </c>
      <c r="C39" s="69" t="str">
        <f t="array" ref="C39">IFERROR(INDEX(고객사점검표!B$2:B$91, 1 / LARGE(INDEX((고객사점검표!$F$2:$F$91="조치 권고") / ROW(고객사점검표!$E$2:$E$91),), ROW($B26)) - 1), "")</f>
        <v/>
      </c>
      <c r="D39" s="69" t="str">
        <f t="array" ref="D39">IFERROR(INDEX(고객사점검표!C$2:C$91, 1 / LARGE(INDEX((고객사점검표!$F$2:$F$91="조치 권고") / ROW(고객사점검표!$E$2:$E$91),), ROW($B26)) - 1), "")</f>
        <v/>
      </c>
      <c r="E39" s="70" t="str">
        <f t="array" ref="E39">IFERROR(INDEX(고객사점검표!D$2:D$91, 1 / LARGE(INDEX((고객사점검표!$F$2:$F$91="조치 권고") / ROW(고객사점검표!$E$2:$E$91),), ROW($B26)) - 1), "")</f>
        <v/>
      </c>
      <c r="F39" s="71" t="str">
        <f t="array" ref="F39">IFERROR(INDEX(고객사점검표!E$2:E$91, 1 / LARGE(INDEX((고객사점검표!$F$2:$F$91="조치 권고") / ROW(고객사점검표!$E$2:$E$91),), ROW($B26)) - 1), "")</f>
        <v/>
      </c>
      <c r="G39" s="69" t="str">
        <f t="array" ref="G39">IFERROR(INDEX(고객사점검표!F$2:F$91, 1 / LARGE(INDEX((고객사점검표!$F$2:$F$91="조치 권고") / ROW(고객사점검표!$E$2:$E$91),), ROW($B26)) - 1), "")</f>
        <v/>
      </c>
      <c r="H39" s="72" t="str">
        <f t="array" ref="H39">IFERROR(INDEX(고객사점검표!G$2:G$91, 1 / LARGE(INDEX((고객사점검표!$F$2:$F$91="조치 권고") / ROW(고객사점검표!$E$2:$E$91),), ROW($B26)) - 1), "")</f>
        <v/>
      </c>
      <c r="I39" s="73"/>
      <c r="J39" s="73"/>
    </row>
    <row r="40" spans="1:10" ht="16.5">
      <c r="A40" s="73"/>
      <c r="B40" s="68" t="str">
        <f t="array" ref="B40">IFERROR(INDEX(고객사점검표!A$2:A$91, 1 / LARGE(INDEX((고객사점검표!$F$2:$F$91="조치 권고") / ROW(고객사점검표!$E$2:$E$91),), ROW($B27)) - 1), "")</f>
        <v/>
      </c>
      <c r="C40" s="69" t="str">
        <f t="array" ref="C40">IFERROR(INDEX(고객사점검표!B$2:B$91, 1 / LARGE(INDEX((고객사점검표!$F$2:$F$91="조치 권고") / ROW(고객사점검표!$E$2:$E$91),), ROW($B27)) - 1), "")</f>
        <v/>
      </c>
      <c r="D40" s="69" t="str">
        <f t="array" ref="D40">IFERROR(INDEX(고객사점검표!C$2:C$91, 1 / LARGE(INDEX((고객사점검표!$F$2:$F$91="조치 권고") / ROW(고객사점검표!$E$2:$E$91),), ROW($B27)) - 1), "")</f>
        <v/>
      </c>
      <c r="E40" s="70" t="str">
        <f t="array" ref="E40">IFERROR(INDEX(고객사점검표!D$2:D$91, 1 / LARGE(INDEX((고객사점검표!$F$2:$F$91="조치 권고") / ROW(고객사점검표!$E$2:$E$91),), ROW($B27)) - 1), "")</f>
        <v/>
      </c>
      <c r="F40" s="71" t="str">
        <f t="array" ref="F40">IFERROR(INDEX(고객사점검표!E$2:E$91, 1 / LARGE(INDEX((고객사점검표!$F$2:$F$91="조치 권고") / ROW(고객사점검표!$E$2:$E$91),), ROW($B27)) - 1), "")</f>
        <v/>
      </c>
      <c r="G40" s="69" t="str">
        <f t="array" ref="G40">IFERROR(INDEX(고객사점검표!F$2:F$91, 1 / LARGE(INDEX((고객사점검표!$F$2:$F$91="조치 권고") / ROW(고객사점검표!$E$2:$E$91),), ROW($B27)) - 1), "")</f>
        <v/>
      </c>
      <c r="H40" s="72" t="str">
        <f t="array" ref="H40">IFERROR(INDEX(고객사점검표!G$2:G$91, 1 / LARGE(INDEX((고객사점검표!$F$2:$F$91="조치 권고") / ROW(고객사점검표!$E$2:$E$91),), ROW($B27)) - 1), "")</f>
        <v/>
      </c>
      <c r="I40" s="73"/>
      <c r="J40" s="73"/>
    </row>
    <row r="41" spans="1:10" ht="16.5">
      <c r="A41" s="73"/>
      <c r="B41" s="68" t="str">
        <f t="array" ref="B41">IFERROR(INDEX(고객사점검표!A$2:A$91, 1 / LARGE(INDEX((고객사점검표!$F$2:$F$91="조치 권고") / ROW(고객사점검표!$E$2:$E$91),), ROW($B28)) - 1), "")</f>
        <v/>
      </c>
      <c r="C41" s="69" t="str">
        <f t="array" ref="C41">IFERROR(INDEX(고객사점검표!B$2:B$91, 1 / LARGE(INDEX((고객사점검표!$F$2:$F$91="조치 권고") / ROW(고객사점검표!$E$2:$E$91),), ROW($B28)) - 1), "")</f>
        <v/>
      </c>
      <c r="D41" s="69" t="str">
        <f t="array" ref="D41">IFERROR(INDEX(고객사점검표!C$2:C$91, 1 / LARGE(INDEX((고객사점검표!$F$2:$F$91="조치 권고") / ROW(고객사점검표!$E$2:$E$91),), ROW($B28)) - 1), "")</f>
        <v/>
      </c>
      <c r="E41" s="70" t="str">
        <f t="array" ref="E41">IFERROR(INDEX(고객사점검표!D$2:D$91, 1 / LARGE(INDEX((고객사점검표!$F$2:$F$91="조치 권고") / ROW(고객사점검표!$E$2:$E$91),), ROW($B28)) - 1), "")</f>
        <v/>
      </c>
      <c r="F41" s="71" t="str">
        <f t="array" ref="F41">IFERROR(INDEX(고객사점검표!E$2:E$91, 1 / LARGE(INDEX((고객사점검표!$F$2:$F$91="조치 권고") / ROW(고객사점검표!$E$2:$E$91),), ROW($B28)) - 1), "")</f>
        <v/>
      </c>
      <c r="G41" s="69" t="str">
        <f t="array" ref="G41">IFERROR(INDEX(고객사점검표!F$2:F$91, 1 / LARGE(INDEX((고객사점검표!$F$2:$F$91="조치 권고") / ROW(고객사점검표!$E$2:$E$91),), ROW($B28)) - 1), "")</f>
        <v/>
      </c>
      <c r="H41" s="72" t="str">
        <f t="array" ref="H41">IFERROR(INDEX(고객사점검표!G$2:G$91, 1 / LARGE(INDEX((고객사점검표!$F$2:$F$91="조치 권고") / ROW(고객사점검표!$E$2:$E$91),), ROW($B28)) - 1), "")</f>
        <v/>
      </c>
      <c r="I41" s="73"/>
      <c r="J41" s="73"/>
    </row>
    <row r="42" spans="1:10" ht="13.5" customHeight="1">
      <c r="A42" s="73"/>
      <c r="B42" s="68" t="str">
        <f t="array" ref="B42">IFERROR(INDEX(고객사점검표!A$2:A$91, 1 / LARGE(INDEX((고객사점검표!$F$2:$F$91="조치 권고") / ROW(고객사점검표!$E$2:$E$91),), ROW($B29)) - 1), "")</f>
        <v/>
      </c>
      <c r="C42" s="69" t="str">
        <f t="array" ref="C42">IFERROR(INDEX(고객사점검표!B$2:B$91, 1 / LARGE(INDEX((고객사점검표!$F$2:$F$91="조치 권고") / ROW(고객사점검표!$E$2:$E$91),), ROW($B29)) - 1), "")</f>
        <v/>
      </c>
      <c r="D42" s="69" t="str">
        <f t="array" ref="D42">IFERROR(INDEX(고객사점검표!C$2:C$91, 1 / LARGE(INDEX((고객사점검표!$F$2:$F$91="조치 권고") / ROW(고객사점검표!$E$2:$E$91),), ROW($B29)) - 1), "")</f>
        <v/>
      </c>
      <c r="E42" s="70" t="str">
        <f t="array" ref="E42">IFERROR(INDEX(고객사점검표!D$2:D$91, 1 / LARGE(INDEX((고객사점검표!$F$2:$F$91="조치 권고") / ROW(고객사점검표!$E$2:$E$91),), ROW($B29)) - 1), "")</f>
        <v/>
      </c>
      <c r="F42" s="71" t="str">
        <f t="array" ref="F42">IFERROR(INDEX(고객사점검표!E$2:E$91, 1 / LARGE(INDEX((고객사점검표!$F$2:$F$91="조치 권고") / ROW(고객사점검표!$E$2:$E$91),), ROW($B29)) - 1), "")</f>
        <v/>
      </c>
      <c r="G42" s="69" t="str">
        <f t="array" ref="G42">IFERROR(INDEX(고객사점검표!F$2:F$91, 1 / LARGE(INDEX((고객사점검표!$F$2:$F$91="조치 권고") / ROW(고객사점검표!$E$2:$E$91),), ROW($B29)) - 1), "")</f>
        <v/>
      </c>
      <c r="H42" s="72" t="str">
        <f t="array" ref="H42">IFERROR(INDEX(고객사점검표!G$2:G$91, 1 / LARGE(INDEX((고객사점검표!$F$2:$F$91="조치 권고") / ROW(고객사점검표!$E$2:$E$91),), ROW($B29)) - 1), "")</f>
        <v/>
      </c>
      <c r="I42" s="73"/>
      <c r="J42" s="73"/>
    </row>
    <row r="43" spans="1:10" ht="13.5" customHeight="1">
      <c r="A43" s="73"/>
      <c r="B43" s="68" t="str">
        <f t="array" ref="B43">IFERROR(INDEX(고객사점검표!A$2:A$91, 1 / LARGE(INDEX((고객사점검표!$F$2:$F$91="조치 권고") / ROW(고객사점검표!$E$2:$E$91),), ROW($B30)) - 1), "")</f>
        <v/>
      </c>
      <c r="C43" s="69" t="str">
        <f t="array" ref="C43">IFERROR(INDEX(고객사점검표!B$2:B$91, 1 / LARGE(INDEX((고객사점검표!$F$2:$F$91="조치 권고") / ROW(고객사점검표!$E$2:$E$91),), ROW($B30)) - 1), "")</f>
        <v/>
      </c>
      <c r="D43" s="69" t="str">
        <f t="array" ref="D43">IFERROR(INDEX(고객사점검표!C$2:C$91, 1 / LARGE(INDEX((고객사점검표!$F$2:$F$91="조치 권고") / ROW(고객사점검표!$E$2:$E$91),), ROW($B30)) - 1), "")</f>
        <v/>
      </c>
      <c r="E43" s="70" t="str">
        <f t="array" ref="E43">IFERROR(INDEX(고객사점검표!D$2:D$91, 1 / LARGE(INDEX((고객사점검표!$F$2:$F$91="조치 권고") / ROW(고객사점검표!$E$2:$E$91),), ROW($B30)) - 1), "")</f>
        <v/>
      </c>
      <c r="F43" s="71" t="str">
        <f t="array" ref="F43">IFERROR(INDEX(고객사점검표!E$2:E$91, 1 / LARGE(INDEX((고객사점검표!$F$2:$F$91="조치 권고") / ROW(고객사점검표!$E$2:$E$91),), ROW($B30)) - 1), "")</f>
        <v/>
      </c>
      <c r="G43" s="69" t="str">
        <f t="array" ref="G43">IFERROR(INDEX(고객사점검표!F$2:F$91, 1 / LARGE(INDEX((고객사점검표!$F$2:$F$91="조치 권고") / ROW(고객사점검표!$E$2:$E$91),), ROW($B30)) - 1), "")</f>
        <v/>
      </c>
      <c r="H43" s="72" t="str">
        <f t="array" ref="H43">IFERROR(INDEX(고객사점검표!G$2:G$91, 1 / LARGE(INDEX((고객사점검표!$F$2:$F$91="조치 권고") / ROW(고객사점검표!$E$2:$E$91),), ROW($B30)) - 1), "")</f>
        <v/>
      </c>
      <c r="I43" s="73"/>
      <c r="J43" s="73"/>
    </row>
    <row r="44" spans="1:10" ht="13.5" customHeight="1">
      <c r="A44" s="73"/>
      <c r="B44" s="68" t="str">
        <f t="array" ref="B44">IFERROR(INDEX(고객사점검표!A$2:A$91, 1 / LARGE(INDEX((고객사점검표!$F$2:$F$91="조치 권고") / ROW(고객사점검표!$E$2:$E$91),), ROW($B31)) - 1), "")</f>
        <v/>
      </c>
      <c r="C44" s="69" t="str">
        <f t="array" ref="C44">IFERROR(INDEX(고객사점검표!B$2:B$91, 1 / LARGE(INDEX((고객사점검표!$F$2:$F$91="조치 권고") / ROW(고객사점검표!$E$2:$E$91),), ROW($B31)) - 1), "")</f>
        <v/>
      </c>
      <c r="D44" s="69" t="str">
        <f t="array" ref="D44">IFERROR(INDEX(고객사점검표!C$2:C$91, 1 / LARGE(INDEX((고객사점검표!$F$2:$F$91="조치 권고") / ROW(고객사점검표!$E$2:$E$91),), ROW($B31)) - 1), "")</f>
        <v/>
      </c>
      <c r="E44" s="70" t="str">
        <f t="array" ref="E44">IFERROR(INDEX(고객사점검표!D$2:D$91, 1 / LARGE(INDEX((고객사점검표!$F$2:$F$91="조치 권고") / ROW(고객사점검표!$E$2:$E$91),), ROW($B31)) - 1), "")</f>
        <v/>
      </c>
      <c r="F44" s="71" t="str">
        <f t="array" ref="F44">IFERROR(INDEX(고객사점검표!E$2:E$91, 1 / LARGE(INDEX((고객사점검표!$F$2:$F$91="조치 권고") / ROW(고객사점검표!$E$2:$E$91),), ROW($B31)) - 1), "")</f>
        <v/>
      </c>
      <c r="G44" s="69" t="str">
        <f t="array" ref="G44">IFERROR(INDEX(고객사점검표!F$2:F$91, 1 / LARGE(INDEX((고객사점검표!$F$2:$F$91="조치 권고") / ROW(고객사점검표!$E$2:$E$91),), ROW($B31)) - 1), "")</f>
        <v/>
      </c>
      <c r="H44" s="72" t="str">
        <f t="array" ref="H44">IFERROR(INDEX(고객사점검표!G$2:G$91, 1 / LARGE(INDEX((고객사점검표!$F$2:$F$91="조치 권고") / ROW(고객사점검표!$E$2:$E$91),), ROW($B31)) - 1), "")</f>
        <v/>
      </c>
      <c r="I44" s="73"/>
      <c r="J44" s="73"/>
    </row>
    <row r="45" spans="1:10" ht="13.5" customHeight="1">
      <c r="A45" s="73"/>
      <c r="B45" s="68" t="str">
        <f t="array" ref="B45">IFERROR(INDEX(고객사점검표!A$2:A$91, 1 / LARGE(INDEX((고객사점검표!$F$2:$F$91="조치 권고") / ROW(고객사점검표!$E$2:$E$91),), ROW($B32)) - 1), "")</f>
        <v/>
      </c>
      <c r="C45" s="69" t="str">
        <f t="array" ref="C45">IFERROR(INDEX(고객사점검표!B$2:B$91, 1 / LARGE(INDEX((고객사점검표!$F$2:$F$91="조치 권고") / ROW(고객사점검표!$E$2:$E$91),), ROW($B32)) - 1), "")</f>
        <v/>
      </c>
      <c r="D45" s="69" t="str">
        <f t="array" ref="D45">IFERROR(INDEX(고객사점검표!C$2:C$91, 1 / LARGE(INDEX((고객사점검표!$F$2:$F$91="조치 권고") / ROW(고객사점검표!$E$2:$E$91),), ROW($B32)) - 1), "")</f>
        <v/>
      </c>
      <c r="E45" s="70" t="str">
        <f t="array" ref="E45">IFERROR(INDEX(고객사점검표!D$2:D$91, 1 / LARGE(INDEX((고객사점검표!$F$2:$F$91="조치 권고") / ROW(고객사점검표!$E$2:$E$91),), ROW($B32)) - 1), "")</f>
        <v/>
      </c>
      <c r="F45" s="71" t="str">
        <f t="array" ref="F45">IFERROR(INDEX(고객사점검표!E$2:E$91, 1 / LARGE(INDEX((고객사점검표!$F$2:$F$91="조치 권고") / ROW(고객사점검표!$E$2:$E$91),), ROW($B32)) - 1), "")</f>
        <v/>
      </c>
      <c r="G45" s="69" t="str">
        <f t="array" ref="G45">IFERROR(INDEX(고객사점검표!F$2:F$91, 1 / LARGE(INDEX((고객사점검표!$F$2:$F$91="조치 권고") / ROW(고객사점검표!$E$2:$E$91),), ROW($B32)) - 1), "")</f>
        <v/>
      </c>
      <c r="H45" s="72" t="str">
        <f t="array" ref="H45">IFERROR(INDEX(고객사점검표!G$2:G$91, 1 / LARGE(INDEX((고객사점검표!$F$2:$F$91="조치 권고") / ROW(고객사점검표!$E$2:$E$91),), ROW($B32)) - 1), "")</f>
        <v/>
      </c>
      <c r="I45" s="73"/>
      <c r="J45" s="73"/>
    </row>
    <row r="46" spans="1:10" ht="13.5" customHeight="1">
      <c r="A46" s="73"/>
      <c r="B46" s="68" t="str">
        <f t="array" ref="B46">IFERROR(INDEX(고객사점검표!A$2:A$91, 1 / LARGE(INDEX((고객사점검표!$F$2:$F$91="조치 권고") / ROW(고객사점검표!$E$2:$E$91),), ROW($B33)) - 1), "")</f>
        <v/>
      </c>
      <c r="C46" s="69" t="str">
        <f t="array" ref="C46">IFERROR(INDEX(고객사점검표!B$2:B$91, 1 / LARGE(INDEX((고객사점검표!$F$2:$F$91="조치 권고") / ROW(고객사점검표!$E$2:$E$91),), ROW($B33)) - 1), "")</f>
        <v/>
      </c>
      <c r="D46" s="69" t="str">
        <f t="array" ref="D46">IFERROR(INDEX(고객사점검표!C$2:C$91, 1 / LARGE(INDEX((고객사점검표!$F$2:$F$91="조치 권고") / ROW(고객사점검표!$E$2:$E$91),), ROW($B33)) - 1), "")</f>
        <v/>
      </c>
      <c r="E46" s="70" t="str">
        <f t="array" ref="E46">IFERROR(INDEX(고객사점검표!D$2:D$91, 1 / LARGE(INDEX((고객사점검표!$F$2:$F$91="조치 권고") / ROW(고객사점검표!$E$2:$E$91),), ROW($B33)) - 1), "")</f>
        <v/>
      </c>
      <c r="F46" s="71" t="str">
        <f t="array" ref="F46">IFERROR(INDEX(고객사점검표!E$2:E$91, 1 / LARGE(INDEX((고객사점검표!$F$2:$F$91="조치 권고") / ROW(고객사점검표!$E$2:$E$91),), ROW($B33)) - 1), "")</f>
        <v/>
      </c>
      <c r="G46" s="69" t="str">
        <f t="array" ref="G46">IFERROR(INDEX(고객사점검표!F$2:F$91, 1 / LARGE(INDEX((고객사점검표!$F$2:$F$91="조치 권고") / ROW(고객사점검표!$E$2:$E$91),), ROW($B33)) - 1), "")</f>
        <v/>
      </c>
      <c r="H46" s="72" t="str">
        <f t="array" ref="H46">IFERROR(INDEX(고객사점검표!G$2:G$91, 1 / LARGE(INDEX((고객사점검표!$F$2:$F$91="조치 권고") / ROW(고객사점검표!$E$2:$E$91),), ROW($B33)) - 1), "")</f>
        <v/>
      </c>
      <c r="I46" s="73"/>
      <c r="J46" s="73"/>
    </row>
    <row r="47" spans="1:10" ht="13.5" customHeight="1">
      <c r="A47" s="73"/>
      <c r="B47" s="68" t="str">
        <f t="array" ref="B47">IFERROR(INDEX(고객사점검표!A$2:A$91, 1 / LARGE(INDEX((고객사점검표!$F$2:$F$91="조치 권고") / ROW(고객사점검표!$E$2:$E$91),), ROW($B34)) - 1), "")</f>
        <v/>
      </c>
      <c r="C47" s="69" t="str">
        <f t="array" ref="C47">IFERROR(INDEX(고객사점검표!B$2:B$91, 1 / LARGE(INDEX((고객사점검표!$F$2:$F$91="조치 권고") / ROW(고객사점검표!$E$2:$E$91),), ROW($B34)) - 1), "")</f>
        <v/>
      </c>
      <c r="D47" s="69" t="str">
        <f t="array" ref="D47">IFERROR(INDEX(고객사점검표!C$2:C$91, 1 / LARGE(INDEX((고객사점검표!$F$2:$F$91="조치 권고") / ROW(고객사점검표!$E$2:$E$91),), ROW($B34)) - 1), "")</f>
        <v/>
      </c>
      <c r="E47" s="70" t="str">
        <f t="array" ref="E47">IFERROR(INDEX(고객사점검표!D$2:D$91, 1 / LARGE(INDEX((고객사점검표!$F$2:$F$91="조치 권고") / ROW(고객사점검표!$E$2:$E$91),), ROW($B34)) - 1), "")</f>
        <v/>
      </c>
      <c r="F47" s="71" t="str">
        <f t="array" ref="F47">IFERROR(INDEX(고객사점검표!E$2:E$91, 1 / LARGE(INDEX((고객사점검표!$F$2:$F$91="조치 권고") / ROW(고객사점검표!$E$2:$E$91),), ROW($B34)) - 1), "")</f>
        <v/>
      </c>
      <c r="G47" s="69" t="str">
        <f t="array" ref="G47">IFERROR(INDEX(고객사점검표!F$2:F$91, 1 / LARGE(INDEX((고객사점검표!$F$2:$F$91="조치 권고") / ROW(고객사점검표!$E$2:$E$91),), ROW($B34)) - 1), "")</f>
        <v/>
      </c>
      <c r="H47" s="72" t="str">
        <f t="array" ref="H47">IFERROR(INDEX(고객사점검표!G$2:G$91, 1 / LARGE(INDEX((고객사점검표!$F$2:$F$91="조치 권고") / ROW(고객사점검표!$E$2:$E$91),), ROW($B34)) - 1), "")</f>
        <v/>
      </c>
      <c r="I47" s="73"/>
      <c r="J47" s="73"/>
    </row>
    <row r="48" spans="1:10" ht="13.5" customHeight="1">
      <c r="A48" s="73"/>
      <c r="B48" s="68" t="str">
        <f t="array" ref="B48">IFERROR(INDEX(고객사점검표!A$2:A$91, 1 / LARGE(INDEX((고객사점검표!$F$2:$F$91="조치 권고") / ROW(고객사점검표!$E$2:$E$91),), ROW($B35)) - 1), "")</f>
        <v/>
      </c>
      <c r="C48" s="69" t="str">
        <f t="array" ref="C48">IFERROR(INDEX(고객사점검표!B$2:B$91, 1 / LARGE(INDEX((고객사점검표!$F$2:$F$91="조치 권고") / ROW(고객사점검표!$E$2:$E$91),), ROW($B35)) - 1), "")</f>
        <v/>
      </c>
      <c r="D48" s="69" t="str">
        <f t="array" ref="D48">IFERROR(INDEX(고객사점검표!C$2:C$91, 1 / LARGE(INDEX((고객사점검표!$F$2:$F$91="조치 권고") / ROW(고객사점검표!$E$2:$E$91),), ROW($B35)) - 1), "")</f>
        <v/>
      </c>
      <c r="E48" s="70" t="str">
        <f t="array" ref="E48">IFERROR(INDEX(고객사점검표!D$2:D$91, 1 / LARGE(INDEX((고객사점검표!$F$2:$F$91="조치 권고") / ROW(고객사점검표!$E$2:$E$91),), ROW($B35)) - 1), "")</f>
        <v/>
      </c>
      <c r="F48" s="71" t="str">
        <f t="array" ref="F48">IFERROR(INDEX(고객사점검표!E$2:E$91, 1 / LARGE(INDEX((고객사점검표!$F$2:$F$91="조치 권고") / ROW(고객사점검표!$E$2:$E$91),), ROW($B35)) - 1), "")</f>
        <v/>
      </c>
      <c r="G48" s="69" t="str">
        <f t="array" ref="G48">IFERROR(INDEX(고객사점검표!F$2:F$91, 1 / LARGE(INDEX((고객사점검표!$F$2:$F$91="조치 권고") / ROW(고객사점검표!$E$2:$E$91),), ROW($B35)) - 1), "")</f>
        <v/>
      </c>
      <c r="H48" s="72" t="str">
        <f t="array" ref="H48">IFERROR(INDEX(고객사점검표!G$2:G$91, 1 / LARGE(INDEX((고객사점검표!$F$2:$F$91="조치 권고") / ROW(고객사점검표!$E$2:$E$91),), ROW($B35)) - 1), "")</f>
        <v/>
      </c>
      <c r="I48" s="73"/>
      <c r="J48" s="73"/>
    </row>
    <row r="49" spans="1:10" ht="13.5" customHeight="1">
      <c r="A49" s="73"/>
      <c r="B49" s="68" t="str">
        <f t="array" ref="B49">IFERROR(INDEX(고객사점검표!A$2:A$91, 1 / LARGE(INDEX((고객사점검표!$F$2:$F$91="조치 권고") / ROW(고객사점검표!$E$2:$E$91),), ROW($B36)) - 1), "")</f>
        <v/>
      </c>
      <c r="C49" s="69" t="str">
        <f t="array" ref="C49">IFERROR(INDEX(고객사점검표!B$2:B$91, 1 / LARGE(INDEX((고객사점검표!$F$2:$F$91="조치 권고") / ROW(고객사점검표!$E$2:$E$91),), ROW($B36)) - 1), "")</f>
        <v/>
      </c>
      <c r="D49" s="69" t="str">
        <f t="array" ref="D49">IFERROR(INDEX(고객사점검표!C$2:C$91, 1 / LARGE(INDEX((고객사점검표!$F$2:$F$91="조치 권고") / ROW(고객사점검표!$E$2:$E$91),), ROW($B36)) - 1), "")</f>
        <v/>
      </c>
      <c r="E49" s="70" t="str">
        <f t="array" ref="E49">IFERROR(INDEX(고객사점검표!D$2:D$91, 1 / LARGE(INDEX((고객사점검표!$F$2:$F$91="조치 권고") / ROW(고객사점검표!$E$2:$E$91),), ROW($B36)) - 1), "")</f>
        <v/>
      </c>
      <c r="F49" s="71" t="str">
        <f t="array" ref="F49">IFERROR(INDEX(고객사점검표!E$2:E$91, 1 / LARGE(INDEX((고객사점검표!$F$2:$F$91="조치 권고") / ROW(고객사점검표!$E$2:$E$91),), ROW($B36)) - 1), "")</f>
        <v/>
      </c>
      <c r="G49" s="69" t="str">
        <f t="array" ref="G49">IFERROR(INDEX(고객사점검표!F$2:F$91, 1 / LARGE(INDEX((고객사점검표!$F$2:$F$91="조치 권고") / ROW(고객사점검표!$E$2:$E$91),), ROW($B36)) - 1), "")</f>
        <v/>
      </c>
      <c r="H49" s="72" t="str">
        <f t="array" ref="H49">IFERROR(INDEX(고객사점검표!G$2:G$91, 1 / LARGE(INDEX((고객사점검표!$F$2:$F$91="조치 권고") / ROW(고객사점검표!$E$2:$E$91),), ROW($B36)) - 1), "")</f>
        <v/>
      </c>
      <c r="I49" s="73"/>
      <c r="J49" s="73"/>
    </row>
    <row r="50" spans="1:10" ht="13.5" customHeight="1">
      <c r="A50" s="73"/>
      <c r="B50" s="68" t="str">
        <f t="array" ref="B50">IFERROR(INDEX(고객사점검표!A$2:A$91, 1 / LARGE(INDEX((고객사점검표!$F$2:$F$91="조치 권고") / ROW(고객사점검표!$E$2:$E$91),), ROW($B37)) - 1), "")</f>
        <v/>
      </c>
      <c r="C50" s="69" t="str">
        <f t="array" ref="C50">IFERROR(INDEX(고객사점검표!B$2:B$91, 1 / LARGE(INDEX((고객사점검표!$F$2:$F$91="조치 권고") / ROW(고객사점검표!$E$2:$E$91),), ROW($B37)) - 1), "")</f>
        <v/>
      </c>
      <c r="D50" s="69" t="str">
        <f t="array" ref="D50">IFERROR(INDEX(고객사점검표!C$2:C$91, 1 / LARGE(INDEX((고객사점검표!$F$2:$F$91="조치 권고") / ROW(고객사점검표!$E$2:$E$91),), ROW($B37)) - 1), "")</f>
        <v/>
      </c>
      <c r="E50" s="70" t="str">
        <f t="array" ref="E50">IFERROR(INDEX(고객사점검표!D$2:D$91, 1 / LARGE(INDEX((고객사점검표!$F$2:$F$91="조치 권고") / ROW(고객사점검표!$E$2:$E$91),), ROW($B37)) - 1), "")</f>
        <v/>
      </c>
      <c r="F50" s="71" t="str">
        <f t="array" ref="F50">IFERROR(INDEX(고객사점검표!E$2:E$91, 1 / LARGE(INDEX((고객사점검표!$F$2:$F$91="조치 권고") / ROW(고객사점검표!$E$2:$E$91),), ROW($B37)) - 1), "")</f>
        <v/>
      </c>
      <c r="G50" s="69" t="str">
        <f t="array" ref="G50">IFERROR(INDEX(고객사점검표!F$2:F$91, 1 / LARGE(INDEX((고객사점검표!$F$2:$F$91="조치 권고") / ROW(고객사점검표!$E$2:$E$91),), ROW($B37)) - 1), "")</f>
        <v/>
      </c>
      <c r="H50" s="72" t="str">
        <f t="array" ref="H50">IFERROR(INDEX(고객사점검표!G$2:G$91, 1 / LARGE(INDEX((고객사점검표!$F$2:$F$91="조치 권고") / ROW(고객사점검표!$E$2:$E$91),), ROW($B37)) - 1), "")</f>
        <v/>
      </c>
      <c r="I50" s="73"/>
      <c r="J50" s="73"/>
    </row>
    <row r="51" spans="1:10" ht="13.5" customHeight="1">
      <c r="A51" s="73"/>
      <c r="B51" s="68" t="str">
        <f t="array" ref="B51">IFERROR(INDEX(고객사점검표!A$2:A$91, 1 / LARGE(INDEX((고객사점검표!$F$2:$F$91="조치 권고") / ROW(고객사점검표!$E$2:$E$91),), ROW($B38)) - 1), "")</f>
        <v/>
      </c>
      <c r="C51" s="69" t="str">
        <f t="array" ref="C51">IFERROR(INDEX(고객사점검표!B$2:B$91, 1 / LARGE(INDEX((고객사점검표!$F$2:$F$91="조치 권고") / ROW(고객사점검표!$E$2:$E$91),), ROW($B38)) - 1), "")</f>
        <v/>
      </c>
      <c r="D51" s="69" t="str">
        <f t="array" ref="D51">IFERROR(INDEX(고객사점검표!C$2:C$91, 1 / LARGE(INDEX((고객사점검표!$F$2:$F$91="조치 권고") / ROW(고객사점검표!$E$2:$E$91),), ROW($B38)) - 1), "")</f>
        <v/>
      </c>
      <c r="E51" s="70" t="str">
        <f t="array" ref="E51">IFERROR(INDEX(고객사점검표!D$2:D$91, 1 / LARGE(INDEX((고객사점검표!$F$2:$F$91="조치 권고") / ROW(고객사점검표!$E$2:$E$91),), ROW($B38)) - 1), "")</f>
        <v/>
      </c>
      <c r="F51" s="71" t="str">
        <f t="array" ref="F51">IFERROR(INDEX(고객사점검표!E$2:E$91, 1 / LARGE(INDEX((고객사점검표!$F$2:$F$91="조치 권고") / ROW(고객사점검표!$E$2:$E$91),), ROW($B38)) - 1), "")</f>
        <v/>
      </c>
      <c r="G51" s="69" t="str">
        <f t="array" ref="G51">IFERROR(INDEX(고객사점검표!F$2:F$91, 1 / LARGE(INDEX((고객사점검표!$F$2:$F$91="조치 권고") / ROW(고객사점검표!$E$2:$E$91),), ROW($B38)) - 1), "")</f>
        <v/>
      </c>
      <c r="H51" s="72" t="str">
        <f t="array" ref="H51">IFERROR(INDEX(고객사점검표!G$2:G$91, 1 / LARGE(INDEX((고객사점검표!$F$2:$F$91="조치 권고") / ROW(고객사점검표!$E$2:$E$91),), ROW($B38)) - 1), "")</f>
        <v/>
      </c>
      <c r="I51" s="73"/>
      <c r="J51" s="73"/>
    </row>
    <row r="52" spans="1:10" ht="13.5" customHeight="1">
      <c r="A52" s="73"/>
      <c r="B52" s="68" t="str">
        <f t="array" ref="B52">IFERROR(INDEX(고객사점검표!A$2:A$91, 1 / LARGE(INDEX((고객사점검표!$F$2:$F$91="조치 권고") / ROW(고객사점검표!$E$2:$E$91),), ROW($B39)) - 1), "")</f>
        <v/>
      </c>
      <c r="C52" s="69" t="str">
        <f t="array" ref="C52">IFERROR(INDEX(고객사점검표!B$2:B$91, 1 / LARGE(INDEX((고객사점검표!$F$2:$F$91="조치 권고") / ROW(고객사점검표!$E$2:$E$91),), ROW($B39)) - 1), "")</f>
        <v/>
      </c>
      <c r="D52" s="69" t="str">
        <f t="array" ref="D52">IFERROR(INDEX(고객사점검표!C$2:C$91, 1 / LARGE(INDEX((고객사점검표!$F$2:$F$91="조치 권고") / ROW(고객사점검표!$E$2:$E$91),), ROW($B39)) - 1), "")</f>
        <v/>
      </c>
      <c r="E52" s="70" t="str">
        <f t="array" ref="E52">IFERROR(INDEX(고객사점검표!D$2:D$91, 1 / LARGE(INDEX((고객사점검표!$F$2:$F$91="조치 권고") / ROW(고객사점검표!$E$2:$E$91),), ROW($B39)) - 1), "")</f>
        <v/>
      </c>
      <c r="F52" s="71" t="str">
        <f t="array" ref="F52">IFERROR(INDEX(고객사점검표!E$2:E$91, 1 / LARGE(INDEX((고객사점검표!$F$2:$F$91="조치 권고") / ROW(고객사점검표!$E$2:$E$91),), ROW($B39)) - 1), "")</f>
        <v/>
      </c>
      <c r="G52" s="69" t="str">
        <f t="array" ref="G52">IFERROR(INDEX(고객사점검표!F$2:F$91, 1 / LARGE(INDEX((고객사점검표!$F$2:$F$91="조치 권고") / ROW(고객사점검표!$E$2:$E$91),), ROW($B39)) - 1), "")</f>
        <v/>
      </c>
      <c r="H52" s="72" t="str">
        <f t="array" ref="H52">IFERROR(INDEX(고객사점검표!G$2:G$91, 1 / LARGE(INDEX((고객사점검표!$F$2:$F$91="조치 권고") / ROW(고객사점검표!$E$2:$E$91),), ROW($B39)) - 1), "")</f>
        <v/>
      </c>
      <c r="I52" s="73"/>
      <c r="J52" s="73"/>
    </row>
    <row r="53" spans="1:10" ht="13.5" customHeight="1">
      <c r="A53" s="73"/>
      <c r="B53" s="68" t="str">
        <f t="array" ref="B53">IFERROR(INDEX(고객사점검표!A$2:A$91, 1 / LARGE(INDEX((고객사점검표!$F$2:$F$91="조치 권고") / ROW(고객사점검표!$E$2:$E$91),), ROW($B40)) - 1), "")</f>
        <v/>
      </c>
      <c r="C53" s="69" t="str">
        <f t="array" ref="C53">IFERROR(INDEX(고객사점검표!B$2:B$91, 1 / LARGE(INDEX((고객사점검표!$F$2:$F$91="조치 권고") / ROW(고객사점검표!$E$2:$E$91),), ROW($B40)) - 1), "")</f>
        <v/>
      </c>
      <c r="D53" s="69" t="str">
        <f t="array" ref="D53">IFERROR(INDEX(고객사점검표!C$2:C$91, 1 / LARGE(INDEX((고객사점검표!$F$2:$F$91="조치 권고") / ROW(고객사점검표!$E$2:$E$91),), ROW($B40)) - 1), "")</f>
        <v/>
      </c>
      <c r="E53" s="70" t="str">
        <f t="array" ref="E53">IFERROR(INDEX(고객사점검표!D$2:D$91, 1 / LARGE(INDEX((고객사점검표!$F$2:$F$91="조치 권고") / ROW(고객사점검표!$E$2:$E$91),), ROW($B40)) - 1), "")</f>
        <v/>
      </c>
      <c r="F53" s="71" t="str">
        <f t="array" ref="F53">IFERROR(INDEX(고객사점검표!E$2:E$91, 1 / LARGE(INDEX((고객사점검표!$F$2:$F$91="조치 권고") / ROW(고객사점검표!$E$2:$E$91),), ROW($B40)) - 1), "")</f>
        <v/>
      </c>
      <c r="G53" s="69" t="str">
        <f t="array" ref="G53">IFERROR(INDEX(고객사점검표!F$2:F$91, 1 / LARGE(INDEX((고객사점검표!$F$2:$F$91="조치 권고") / ROW(고객사점검표!$E$2:$E$91),), ROW($B40)) - 1), "")</f>
        <v/>
      </c>
      <c r="H53" s="72" t="str">
        <f t="array" ref="H53">IFERROR(INDEX(고객사점검표!G$2:G$91, 1 / LARGE(INDEX((고객사점검표!$F$2:$F$91="조치 권고") / ROW(고객사점검표!$E$2:$E$91),), ROW($B40)) - 1), "")</f>
        <v/>
      </c>
      <c r="I53" s="73"/>
      <c r="J53" s="73"/>
    </row>
    <row r="54" spans="1:10" ht="13.5" customHeight="1">
      <c r="A54" s="73"/>
      <c r="B54" s="68" t="str">
        <f t="array" ref="B54">IFERROR(INDEX(고객사점검표!A$2:A$91, 1 / LARGE(INDEX((고객사점검표!$F$2:$F$91="조치 권고") / ROW(고객사점검표!$E$2:$E$91),), ROW($B41)) - 1), "")</f>
        <v/>
      </c>
      <c r="C54" s="69" t="str">
        <f t="array" ref="C54">IFERROR(INDEX(고객사점검표!B$2:B$91, 1 / LARGE(INDEX((고객사점검표!$F$2:$F$91="조치 권고") / ROW(고객사점검표!$E$2:$E$91),), ROW($B41)) - 1), "")</f>
        <v/>
      </c>
      <c r="D54" s="69" t="str">
        <f t="array" ref="D54">IFERROR(INDEX(고객사점검표!C$2:C$91, 1 / LARGE(INDEX((고객사점검표!$F$2:$F$91="조치 권고") / ROW(고객사점검표!$E$2:$E$91),), ROW($B41)) - 1), "")</f>
        <v/>
      </c>
      <c r="E54" s="70" t="str">
        <f t="array" ref="E54">IFERROR(INDEX(고객사점검표!D$2:D$91, 1 / LARGE(INDEX((고객사점검표!$F$2:$F$91="조치 권고") / ROW(고객사점검표!$E$2:$E$91),), ROW($B41)) - 1), "")</f>
        <v/>
      </c>
      <c r="F54" s="71" t="str">
        <f t="array" ref="F54">IFERROR(INDEX(고객사점검표!E$2:E$91, 1 / LARGE(INDEX((고객사점검표!$F$2:$F$91="조치 권고") / ROW(고객사점검표!$E$2:$E$91),), ROW($B41)) - 1), "")</f>
        <v/>
      </c>
      <c r="G54" s="69" t="str">
        <f t="array" ref="G54">IFERROR(INDEX(고객사점검표!F$2:F$91, 1 / LARGE(INDEX((고객사점검표!$F$2:$F$91="조치 권고") / ROW(고객사점검표!$E$2:$E$91),), ROW($B41)) - 1), "")</f>
        <v/>
      </c>
      <c r="H54" s="72" t="str">
        <f t="array" ref="H54">IFERROR(INDEX(고객사점검표!G$2:G$91, 1 / LARGE(INDEX((고객사점검표!$F$2:$F$91="조치 권고") / ROW(고객사점검표!$E$2:$E$91),), ROW($B41)) - 1), "")</f>
        <v/>
      </c>
      <c r="I54" s="73"/>
      <c r="J54" s="73"/>
    </row>
    <row r="55" spans="1:10" ht="13.5" customHeight="1">
      <c r="A55" s="73"/>
      <c r="B55" s="68" t="str">
        <f t="array" ref="B55">IFERROR(INDEX(고객사점검표!A$2:A$91, 1 / LARGE(INDEX((고객사점검표!$F$2:$F$91="조치 권고") / ROW(고객사점검표!$E$2:$E$91),), ROW($B42)) - 1), "")</f>
        <v/>
      </c>
      <c r="C55" s="69" t="str">
        <f t="array" ref="C55">IFERROR(INDEX(고객사점검표!B$2:B$91, 1 / LARGE(INDEX((고객사점검표!$F$2:$F$91="조치 권고") / ROW(고객사점검표!$E$2:$E$91),), ROW($B42)) - 1), "")</f>
        <v/>
      </c>
      <c r="D55" s="69" t="str">
        <f t="array" ref="D55">IFERROR(INDEX(고객사점검표!C$2:C$91, 1 / LARGE(INDEX((고객사점검표!$F$2:$F$91="조치 권고") / ROW(고객사점검표!$E$2:$E$91),), ROW($B42)) - 1), "")</f>
        <v/>
      </c>
      <c r="E55" s="70" t="str">
        <f t="array" ref="E55">IFERROR(INDEX(고객사점검표!D$2:D$91, 1 / LARGE(INDEX((고객사점검표!$F$2:$F$91="조치 권고") / ROW(고객사점검표!$E$2:$E$91),), ROW($B42)) - 1), "")</f>
        <v/>
      </c>
      <c r="F55" s="71" t="str">
        <f t="array" ref="F55">IFERROR(INDEX(고객사점검표!E$2:E$91, 1 / LARGE(INDEX((고객사점검표!$F$2:$F$91="조치 권고") / ROW(고객사점검표!$E$2:$E$91),), ROW($B42)) - 1), "")</f>
        <v/>
      </c>
      <c r="G55" s="69" t="str">
        <f t="array" ref="G55">IFERROR(INDEX(고객사점검표!F$2:F$91, 1 / LARGE(INDEX((고객사점검표!$F$2:$F$91="조치 권고") / ROW(고객사점검표!$E$2:$E$91),), ROW($B42)) - 1), "")</f>
        <v/>
      </c>
      <c r="H55" s="72" t="str">
        <f t="array" ref="H55">IFERROR(INDEX(고객사점검표!G$2:G$91, 1 / LARGE(INDEX((고객사점검표!$F$2:$F$91="조치 권고") / ROW(고객사점검표!$E$2:$E$91),), ROW($B42)) - 1), "")</f>
        <v/>
      </c>
      <c r="I55" s="73"/>
      <c r="J55" s="73"/>
    </row>
    <row r="56" spans="1:10" ht="13.5" customHeight="1">
      <c r="A56" s="73"/>
      <c r="B56" s="68" t="str">
        <f t="array" ref="B56">IFERROR(INDEX(고객사점검표!A$2:A$91, 1 / LARGE(INDEX((고객사점검표!$F$2:$F$91="조치 권고") / ROW(고객사점검표!$E$2:$E$91),), ROW($B43)) - 1), "")</f>
        <v/>
      </c>
      <c r="C56" s="69" t="str">
        <f t="array" ref="C56">IFERROR(INDEX(고객사점검표!B$2:B$91, 1 / LARGE(INDEX((고객사점검표!$F$2:$F$91="조치 권고") / ROW(고객사점검표!$E$2:$E$91),), ROW($B43)) - 1), "")</f>
        <v/>
      </c>
      <c r="D56" s="69" t="str">
        <f t="array" ref="D56">IFERROR(INDEX(고객사점검표!C$2:C$91, 1 / LARGE(INDEX((고객사점검표!$F$2:$F$91="조치 권고") / ROW(고객사점검표!$E$2:$E$91),), ROW($B43)) - 1), "")</f>
        <v/>
      </c>
      <c r="E56" s="70" t="str">
        <f t="array" ref="E56">IFERROR(INDEX(고객사점검표!D$2:D$91, 1 / LARGE(INDEX((고객사점검표!$F$2:$F$91="조치 권고") / ROW(고객사점검표!$E$2:$E$91),), ROW($B43)) - 1), "")</f>
        <v/>
      </c>
      <c r="F56" s="71" t="str">
        <f t="array" ref="F56">IFERROR(INDEX(고객사점검표!E$2:E$91, 1 / LARGE(INDEX((고객사점검표!$F$2:$F$91="조치 권고") / ROW(고객사점검표!$E$2:$E$91),), ROW($B43)) - 1), "")</f>
        <v/>
      </c>
      <c r="G56" s="69" t="str">
        <f t="array" ref="G56">IFERROR(INDEX(고객사점검표!F$2:F$91, 1 / LARGE(INDEX((고객사점검표!$F$2:$F$91="조치 권고") / ROW(고객사점검표!$E$2:$E$91),), ROW($B43)) - 1), "")</f>
        <v/>
      </c>
      <c r="H56" s="72" t="str">
        <f t="array" ref="H56">IFERROR(INDEX(고객사점검표!G$2:G$91, 1 / LARGE(INDEX((고객사점검표!$F$2:$F$91="조치 권고") / ROW(고객사점검표!$E$2:$E$91),), ROW($B43)) - 1), "")</f>
        <v/>
      </c>
      <c r="I56" s="73"/>
      <c r="J56" s="73"/>
    </row>
    <row r="57" spans="1:10" ht="13.5" customHeight="1">
      <c r="A57" s="73"/>
      <c r="B57" s="68" t="str">
        <f t="array" ref="B57">IFERROR(INDEX(고객사점검표!A$2:A$91, 1 / LARGE(INDEX((고객사점검표!$F$2:$F$91="조치 권고") / ROW(고객사점검표!$E$2:$E$91),), ROW($B44)) - 1), "")</f>
        <v/>
      </c>
      <c r="C57" s="69" t="str">
        <f t="array" ref="C57">IFERROR(INDEX(고객사점검표!B$2:B$91, 1 / LARGE(INDEX((고객사점검표!$F$2:$F$91="조치 권고") / ROW(고객사점검표!$E$2:$E$91),), ROW($B44)) - 1), "")</f>
        <v/>
      </c>
      <c r="D57" s="69" t="str">
        <f t="array" ref="D57">IFERROR(INDEX(고객사점검표!C$2:C$91, 1 / LARGE(INDEX((고객사점검표!$F$2:$F$91="조치 권고") / ROW(고객사점검표!$E$2:$E$91),), ROW($B44)) - 1), "")</f>
        <v/>
      </c>
      <c r="E57" s="70" t="str">
        <f t="array" ref="E57">IFERROR(INDEX(고객사점검표!D$2:D$91, 1 / LARGE(INDEX((고객사점검표!$F$2:$F$91="조치 권고") / ROW(고객사점검표!$E$2:$E$91),), ROW($B44)) - 1), "")</f>
        <v/>
      </c>
      <c r="F57" s="71" t="str">
        <f t="array" ref="F57">IFERROR(INDEX(고객사점검표!E$2:E$91, 1 / LARGE(INDEX((고객사점검표!$F$2:$F$91="조치 권고") / ROW(고객사점검표!$E$2:$E$91),), ROW($B44)) - 1), "")</f>
        <v/>
      </c>
      <c r="G57" s="69" t="str">
        <f t="array" ref="G57">IFERROR(INDEX(고객사점검표!F$2:F$91, 1 / LARGE(INDEX((고객사점검표!$F$2:$F$91="조치 권고") / ROW(고객사점검표!$E$2:$E$91),), ROW($B44)) - 1), "")</f>
        <v/>
      </c>
      <c r="H57" s="72" t="str">
        <f t="array" ref="H57">IFERROR(INDEX(고객사점검표!G$2:G$91, 1 / LARGE(INDEX((고객사점검표!$F$2:$F$91="조치 권고") / ROW(고객사점검표!$E$2:$E$91),), ROW($B44)) - 1), "")</f>
        <v/>
      </c>
      <c r="I57" s="73"/>
      <c r="J57" s="73"/>
    </row>
    <row r="58" spans="1:10" ht="13.5" customHeight="1">
      <c r="A58" s="73"/>
      <c r="B58" s="68" t="str">
        <f t="array" ref="B58">IFERROR(INDEX(고객사점검표!A$2:A$91, 1 / LARGE(INDEX((고객사점검표!$F$2:$F$91="조치 권고") / ROW(고객사점검표!$E$2:$E$91),), ROW($B45)) - 1), "")</f>
        <v/>
      </c>
      <c r="C58" s="69" t="str">
        <f t="array" ref="C58">IFERROR(INDEX(고객사점검표!B$2:B$91, 1 / LARGE(INDEX((고객사점검표!$F$2:$F$91="조치 권고") / ROW(고객사점검표!$E$2:$E$91),), ROW($B45)) - 1), "")</f>
        <v/>
      </c>
      <c r="D58" s="69" t="str">
        <f t="array" ref="D58">IFERROR(INDEX(고객사점검표!C$2:C$91, 1 / LARGE(INDEX((고객사점검표!$F$2:$F$91="조치 권고") / ROW(고객사점검표!$E$2:$E$91),), ROW($B45)) - 1), "")</f>
        <v/>
      </c>
      <c r="E58" s="70" t="str">
        <f t="array" ref="E58">IFERROR(INDEX(고객사점검표!D$2:D$91, 1 / LARGE(INDEX((고객사점검표!$F$2:$F$91="조치 권고") / ROW(고객사점검표!$E$2:$E$91),), ROW($B45)) - 1), "")</f>
        <v/>
      </c>
      <c r="F58" s="71" t="str">
        <f t="array" ref="F58">IFERROR(INDEX(고객사점검표!E$2:E$91, 1 / LARGE(INDEX((고객사점검표!$F$2:$F$91="조치 권고") / ROW(고객사점검표!$E$2:$E$91),), ROW($B45)) - 1), "")</f>
        <v/>
      </c>
      <c r="G58" s="69" t="str">
        <f t="array" ref="G58">IFERROR(INDEX(고객사점검표!F$2:F$91, 1 / LARGE(INDEX((고객사점검표!$F$2:$F$91="조치 권고") / ROW(고객사점검표!$E$2:$E$91),), ROW($B45)) - 1), "")</f>
        <v/>
      </c>
      <c r="H58" s="72" t="str">
        <f t="array" ref="H58">IFERROR(INDEX(고객사점검표!G$2:G$91, 1 / LARGE(INDEX((고객사점검표!$F$2:$F$91="조치 권고") / ROW(고객사점검표!$E$2:$E$91),), ROW($B45)) - 1), "")</f>
        <v/>
      </c>
      <c r="I58" s="73"/>
      <c r="J58" s="73"/>
    </row>
    <row r="59" spans="1:10" ht="13.5" customHeight="1">
      <c r="A59" s="73"/>
      <c r="B59" s="68" t="str">
        <f t="array" ref="B59">IFERROR(INDEX(고객사점검표!A$2:A$91, 1 / LARGE(INDEX((고객사점검표!$F$2:$F$91="조치 권고") / ROW(고객사점검표!$E$2:$E$91),), ROW($B46)) - 1), "")</f>
        <v/>
      </c>
      <c r="C59" s="69" t="str">
        <f t="array" ref="C59">IFERROR(INDEX(고객사점검표!B$2:B$91, 1 / LARGE(INDEX((고객사점검표!$F$2:$F$91="조치 권고") / ROW(고객사점검표!$E$2:$E$91),), ROW($B46)) - 1), "")</f>
        <v/>
      </c>
      <c r="D59" s="69" t="str">
        <f t="array" ref="D59">IFERROR(INDEX(고객사점검표!C$2:C$91, 1 / LARGE(INDEX((고객사점검표!$F$2:$F$91="조치 권고") / ROW(고객사점검표!$E$2:$E$91),), ROW($B46)) - 1), "")</f>
        <v/>
      </c>
      <c r="E59" s="70" t="str">
        <f t="array" ref="E59">IFERROR(INDEX(고객사점검표!D$2:D$91, 1 / LARGE(INDEX((고객사점검표!$F$2:$F$91="조치 권고") / ROW(고객사점검표!$E$2:$E$91),), ROW($B46)) - 1), "")</f>
        <v/>
      </c>
      <c r="F59" s="71" t="str">
        <f t="array" ref="F59">IFERROR(INDEX(고객사점검표!E$2:E$91, 1 / LARGE(INDEX((고객사점검표!$F$2:$F$91="조치 권고") / ROW(고객사점검표!$E$2:$E$91),), ROW($B46)) - 1), "")</f>
        <v/>
      </c>
      <c r="G59" s="69" t="str">
        <f t="array" ref="G59">IFERROR(INDEX(고객사점검표!F$2:F$91, 1 / LARGE(INDEX((고객사점검표!$F$2:$F$91="조치 권고") / ROW(고객사점검표!$E$2:$E$91),), ROW($B46)) - 1), "")</f>
        <v/>
      </c>
      <c r="H59" s="72" t="str">
        <f t="array" ref="H59">IFERROR(INDEX(고객사점검표!G$2:G$91, 1 / LARGE(INDEX((고객사점검표!$F$2:$F$91="조치 권고") / ROW(고객사점검표!$E$2:$E$91),), ROW($B46)) - 1), "")</f>
        <v/>
      </c>
      <c r="I59" s="73"/>
      <c r="J59" s="73"/>
    </row>
    <row r="60" spans="1:10" ht="15.75" customHeight="1">
      <c r="A60" s="73"/>
      <c r="B60" s="74" t="str">
        <f t="array" ref="B60">IFERROR(INDEX(고객사점검표!A$2:A$91, 1 / LARGE(INDEX((고객사점검표!$F$2:$F$91="조치 권고") / ROW(고객사점검표!$E$2:$E$91),), ROW($B47)) - 1), "")</f>
        <v/>
      </c>
      <c r="C60" s="75" t="str">
        <f t="array" ref="C60">IFERROR(INDEX(고객사점검표!B$2:B$91, 1 / LARGE(INDEX((고객사점검표!$F$2:$F$91="조치 권고") / ROW(고객사점검표!$E$2:$E$91),), ROW($B47)) - 1), "")</f>
        <v/>
      </c>
      <c r="D60" s="75" t="str">
        <f t="array" ref="D60">IFERROR(INDEX(고객사점검표!C$2:C$91, 1 / LARGE(INDEX((고객사점검표!$F$2:$F$91="조치 권고") / ROW(고객사점검표!$E$2:$E$91),), ROW($B47)) - 1), "")</f>
        <v/>
      </c>
      <c r="E60" s="76" t="str">
        <f t="array" ref="E60">IFERROR(INDEX(고객사점검표!D$2:D$91, 1 / LARGE(INDEX((고객사점검표!$F$2:$F$91="조치 권고") / ROW(고객사점검표!$E$2:$E$91),), ROW($B47)) - 1), "")</f>
        <v/>
      </c>
      <c r="F60" s="77" t="str">
        <f t="array" ref="F60">IFERROR(INDEX(고객사점검표!E$2:E$91, 1 / LARGE(INDEX((고객사점검표!$F$2:$F$91="조치 권고") / ROW(고객사점검표!$E$2:$E$91),), ROW($B47)) - 1), "")</f>
        <v/>
      </c>
      <c r="G60" s="75" t="str">
        <f t="array" ref="G60">IFERROR(INDEX(고객사점검표!F$2:F$91, 1 / LARGE(INDEX((고객사점검표!$F$2:$F$91="조치 권고") / ROW(고객사점검표!$E$2:$E$91),), ROW($B47)) - 1), "")</f>
        <v/>
      </c>
      <c r="H60" s="78" t="str">
        <f t="array" ref="H60">IFERROR(INDEX(고객사점검표!G$2:G$91, 1 / LARGE(INDEX((고객사점검표!$F$2:$F$91="조치 권고") / ROW(고객사점검표!$E$2:$E$91),), ROW($B47)) - 1), "")</f>
        <v/>
      </c>
      <c r="I60" s="73"/>
      <c r="J60" s="73"/>
    </row>
    <row r="61" spans="1:10" ht="13.5" customHeight="1">
      <c r="A61" s="50"/>
      <c r="B61" s="79" t="str">
        <f t="array" ref="B61">IFERROR(INDEX(고객사점검표!A$2:A$91, 1 / LARGE(INDEX((고객사점검표!$F$2:$F$91="확인 불가") / ROW(고객사점검표!$E$2:$E$91),), ROW($B1)) - 1), "")</f>
        <v/>
      </c>
      <c r="C61" s="80" t="str">
        <f t="array" ref="C61">IFERROR(INDEX(고객사점검표!B$2:B$91, 1 / LARGE(INDEX((고객사점검표!$F$2:$F$91="확인 불가") / ROW(고객사점검표!$E$2:$E$91),), ROW($B1)) - 1), "")</f>
        <v/>
      </c>
      <c r="D61" s="80" t="str">
        <f t="array" ref="D61">IFERROR(INDEX(고객사점검표!C$2:C$91, 1 / LARGE(INDEX((고객사점검표!$F$2:$F$91="확인 불가") / ROW(고객사점검표!$E$2:$E$91),), ROW($B1)) - 1), "")</f>
        <v/>
      </c>
      <c r="E61" s="80" t="str">
        <f t="array" ref="E61">IFERROR(INDEX(고객사점검표!D$2:D$91, 1 / LARGE(INDEX((고객사점검표!$F$2:$F$91="확인 불가") / ROW(고객사점검표!$E$2:$E$91),), ROW($B1)) - 1), "")</f>
        <v/>
      </c>
      <c r="F61" s="81" t="str">
        <f t="array" ref="F61">IFERROR(INDEX(고객사점검표!E$2:E$91, 1 / LARGE(INDEX((고객사점검표!$F$2:$F$91="확인 불가") / ROW(고객사점검표!$E$2:$E$91),), ROW($B1)) - 1), "")</f>
        <v/>
      </c>
      <c r="G61" s="82" t="str">
        <f t="array" ref="G61">IFERROR(INDEX(고객사점검표!F$2:F$91, 1 / LARGE(INDEX((고객사점검표!$F$2:$F$91="확인 불가") / ROW(고객사점검표!$E$2:$E$91),), ROW($B1)) - 1), "")</f>
        <v/>
      </c>
      <c r="H61" s="83" t="str">
        <f t="array" ref="H61">IFERROR(INDEX(고객사점검표!G$2:G$91, 1 / LARGE(INDEX((고객사점검표!$F$2:$F$91="확인 불가") / ROW(고객사점검표!$E$2:$E$91),), ROW($B1)) - 1), "")</f>
        <v/>
      </c>
      <c r="I61" s="50"/>
      <c r="J61" s="50"/>
    </row>
    <row r="62" spans="1:10" ht="13.5" customHeight="1">
      <c r="A62" s="50"/>
      <c r="B62" s="84" t="str">
        <f t="array" ref="B62">IFERROR(INDEX(고객사점검표!A$2:A$91, 1 / LARGE(INDEX((고객사점검표!$F$2:$F$91="확인 불가") / ROW(고객사점검표!$E$2:$E$91),), ROW($B2)) - 1), "")</f>
        <v/>
      </c>
      <c r="C62" s="85" t="str">
        <f t="array" ref="C62">IFERROR(INDEX(고객사점검표!B$2:B$91, 1 / LARGE(INDEX((고객사점검표!$F$2:$F$91="확인 불가") / ROW(고객사점검표!$E$2:$E$91),), ROW($B2)) - 1), "")</f>
        <v/>
      </c>
      <c r="D62" s="85" t="str">
        <f t="array" ref="D62">IFERROR(INDEX(고객사점검표!C$2:C$91, 1 / LARGE(INDEX((고객사점검표!$F$2:$F$91="확인 불가") / ROW(고객사점검표!$E$2:$E$91),), ROW($B2)) - 1), "")</f>
        <v/>
      </c>
      <c r="E62" s="85" t="str">
        <f t="array" ref="E62">IFERROR(INDEX(고객사점검표!D$2:D$91, 1 / LARGE(INDEX((고객사점검표!$F$2:$F$91="확인 불가") / ROW(고객사점검표!$E$2:$E$91),), ROW($B2)) - 1), "")</f>
        <v/>
      </c>
      <c r="F62" s="86" t="str">
        <f t="array" ref="F62">IFERROR(INDEX(고객사점검표!E$2:E$91, 1 / LARGE(INDEX((고객사점검표!$F$2:$F$91="확인 불가") / ROW(고객사점검표!$E$2:$E$91),), ROW($B2)) - 1), "")</f>
        <v/>
      </c>
      <c r="G62" s="87" t="str">
        <f t="array" ref="G62">IFERROR(INDEX(고객사점검표!F$2:F$91, 1 / LARGE(INDEX((고객사점검표!$F$2:$F$91="확인 불가") / ROW(고객사점검표!$E$2:$E$91),), ROW($B2)) - 1), "")</f>
        <v/>
      </c>
      <c r="H62" s="88" t="str">
        <f t="array" ref="H62">IFERROR(INDEX(고객사점검표!G$2:G$91, 1 / LARGE(INDEX((고객사점검표!$F$2:$F$91="확인 불가") / ROW(고객사점검표!$E$2:$E$91),), ROW($B2)) - 1), "")</f>
        <v/>
      </c>
      <c r="I62" s="50"/>
      <c r="J62" s="50"/>
    </row>
    <row r="63" spans="1:10" ht="13.5" customHeight="1">
      <c r="A63" s="50"/>
      <c r="B63" s="84" t="str">
        <f t="array" ref="B63">IFERROR(INDEX(고객사점검표!A$2:A$91, 1 / LARGE(INDEX((고객사점검표!$F$2:$F$91="확인 불가") / ROW(고객사점검표!$E$2:$E$91),), ROW($B3)) - 1), "")</f>
        <v/>
      </c>
      <c r="C63" s="85" t="str">
        <f t="array" ref="C63">IFERROR(INDEX(고객사점검표!B$2:B$91, 1 / LARGE(INDEX((고객사점검표!$F$2:$F$91="확인 불가") / ROW(고객사점검표!$E$2:$E$91),), ROW($B3)) - 1), "")</f>
        <v/>
      </c>
      <c r="D63" s="85" t="str">
        <f t="array" ref="D63">IFERROR(INDEX(고객사점검표!C$2:C$91, 1 / LARGE(INDEX((고객사점검표!$F$2:$F$91="확인 불가") / ROW(고객사점검표!$E$2:$E$91),), ROW($B3)) - 1), "")</f>
        <v/>
      </c>
      <c r="E63" s="85" t="str">
        <f t="array" ref="E63">IFERROR(INDEX(고객사점검표!D$2:D$91, 1 / LARGE(INDEX((고객사점검표!$F$2:$F$91="확인 불가") / ROW(고객사점검표!$E$2:$E$91),), ROW($B3)) - 1), "")</f>
        <v/>
      </c>
      <c r="F63" s="86" t="str">
        <f t="array" ref="F63">IFERROR(INDEX(고객사점검표!E$2:E$91, 1 / LARGE(INDEX((고객사점검표!$F$2:$F$91="확인 불가") / ROW(고객사점검표!$E$2:$E$91),), ROW($B3)) - 1), "")</f>
        <v/>
      </c>
      <c r="G63" s="87" t="str">
        <f t="array" ref="G63">IFERROR(INDEX(고객사점검표!F$2:F$91, 1 / LARGE(INDEX((고객사점검표!$F$2:$F$91="확인 불가") / ROW(고객사점검표!$E$2:$E$91),), ROW($B3)) - 1), "")</f>
        <v/>
      </c>
      <c r="H63" s="88" t="str">
        <f t="array" ref="H63">IFERROR(INDEX(고객사점검표!G$2:G$91, 1 / LARGE(INDEX((고객사점검표!$F$2:$F$91="확인 불가") / ROW(고객사점검표!$E$2:$E$91),), ROW($B3)) - 1), "")</f>
        <v/>
      </c>
      <c r="I63" s="50"/>
      <c r="J63" s="50"/>
    </row>
    <row r="64" spans="1:10" ht="13.5" customHeight="1">
      <c r="A64" s="50"/>
      <c r="B64" s="84" t="str">
        <f t="array" ref="B64">IFERROR(INDEX(고객사점검표!A$2:A$91, 1 / LARGE(INDEX((고객사점검표!$F$2:$F$91="확인 불가") / ROW(고객사점검표!$E$2:$E$91),), ROW($B4)) - 1), "")</f>
        <v/>
      </c>
      <c r="C64" s="85" t="str">
        <f t="array" ref="C64">IFERROR(INDEX(고객사점검표!B$2:B$91, 1 / LARGE(INDEX((고객사점검표!$F$2:$F$91="확인 불가") / ROW(고객사점검표!$E$2:$E$91),), ROW($B4)) - 1), "")</f>
        <v/>
      </c>
      <c r="D64" s="85" t="str">
        <f t="array" ref="D64">IFERROR(INDEX(고객사점검표!C$2:C$91, 1 / LARGE(INDEX((고객사점검표!$F$2:$F$91="확인 불가") / ROW(고객사점검표!$E$2:$E$91),), ROW($B4)) - 1), "")</f>
        <v/>
      </c>
      <c r="E64" s="85" t="str">
        <f t="array" ref="E64">IFERROR(INDEX(고객사점검표!D$2:D$91, 1 / LARGE(INDEX((고객사점검표!$F$2:$F$91="확인 불가") / ROW(고객사점검표!$E$2:$E$91),), ROW($B4)) - 1), "")</f>
        <v/>
      </c>
      <c r="F64" s="86" t="str">
        <f t="array" ref="F64">IFERROR(INDEX(고객사점검표!E$2:E$91, 1 / LARGE(INDEX((고객사점검표!$F$2:$F$91="확인 불가") / ROW(고객사점검표!$E$2:$E$91),), ROW($B4)) - 1), "")</f>
        <v/>
      </c>
      <c r="G64" s="87" t="str">
        <f t="array" ref="G64">IFERROR(INDEX(고객사점검표!F$2:F$91, 1 / LARGE(INDEX((고객사점검표!$F$2:$F$91="확인 불가") / ROW(고객사점검표!$E$2:$E$91),), ROW($B4)) - 1), "")</f>
        <v/>
      </c>
      <c r="H64" s="88" t="str">
        <f t="array" ref="H64">IFERROR(INDEX(고객사점검표!G$2:G$91, 1 / LARGE(INDEX((고객사점검표!$F$2:$F$91="확인 불가") / ROW(고객사점검표!$E$2:$E$91),), ROW($B4)) - 1), "")</f>
        <v/>
      </c>
      <c r="I64" s="50"/>
      <c r="J64" s="50"/>
    </row>
    <row r="65" spans="1:10" ht="13.5" customHeight="1">
      <c r="A65" s="50"/>
      <c r="B65" s="84" t="str">
        <f t="array" ref="B65">IFERROR(INDEX(고객사점검표!A$2:A$91, 1 / LARGE(INDEX((고객사점검표!$F$2:$F$91="확인 불가") / ROW(고객사점검표!$E$2:$E$91),), ROW($B5)) - 1), "")</f>
        <v/>
      </c>
      <c r="C65" s="85" t="str">
        <f t="array" ref="C65">IFERROR(INDEX(고객사점검표!B$2:B$91, 1 / LARGE(INDEX((고객사점검표!$F$2:$F$91="확인 불가") / ROW(고객사점검표!$E$2:$E$91),), ROW($B5)) - 1), "")</f>
        <v/>
      </c>
      <c r="D65" s="85" t="str">
        <f t="array" ref="D65">IFERROR(INDEX(고객사점검표!C$2:C$91, 1 / LARGE(INDEX((고객사점검표!$F$2:$F$91="확인 불가") / ROW(고객사점검표!$E$2:$E$91),), ROW($B5)) - 1), "")</f>
        <v/>
      </c>
      <c r="E65" s="85" t="str">
        <f t="array" ref="E65">IFERROR(INDEX(고객사점검표!D$2:D$91, 1 / LARGE(INDEX((고객사점검표!$F$2:$F$91="확인 불가") / ROW(고객사점검표!$E$2:$E$91),), ROW($B5)) - 1), "")</f>
        <v/>
      </c>
      <c r="F65" s="86" t="str">
        <f t="array" ref="F65">IFERROR(INDEX(고객사점검표!E$2:E$91, 1 / LARGE(INDEX((고객사점검표!$F$2:$F$91="확인 불가") / ROW(고객사점검표!$E$2:$E$91),), ROW($B5)) - 1), "")</f>
        <v/>
      </c>
      <c r="G65" s="85" t="str">
        <f t="array" ref="G65">IFERROR(INDEX(고객사점검표!F$2:F$91, 1 / LARGE(INDEX((고객사점검표!$F$2:$F$91="확인 불가") / ROW(고객사점검표!$E$2:$E$91),), ROW($B5)) - 1), "")</f>
        <v/>
      </c>
      <c r="H65" s="88" t="str">
        <f t="array" ref="H65">IFERROR(INDEX(고객사점검표!G$2:G$91, 1 / LARGE(INDEX((고객사점검표!$F$2:$F$91="확인 불가") / ROW(고객사점검표!$E$2:$E$91),), ROW($B5)) - 1), "")</f>
        <v/>
      </c>
      <c r="I65" s="50"/>
      <c r="J65" s="50"/>
    </row>
    <row r="66" spans="1:10" ht="13.5" customHeight="1">
      <c r="A66" s="50"/>
      <c r="B66" s="84" t="str">
        <f t="array" ref="B66">IFERROR(INDEX(고객사점검표!A$2:A$91, 1 / LARGE(INDEX((고객사점검표!$F$2:$F$91="확인 불가") / ROW(고객사점검표!$E$2:$E$91),), ROW($B6)) - 1), "")</f>
        <v/>
      </c>
      <c r="C66" s="85" t="str">
        <f t="array" ref="C66">IFERROR(INDEX(고객사점검표!B$2:B$91, 1 / LARGE(INDEX((고객사점검표!$F$2:$F$91="확인 불가") / ROW(고객사점검표!$E$2:$E$91),), ROW($B6)) - 1), "")</f>
        <v/>
      </c>
      <c r="D66" s="85" t="str">
        <f t="array" ref="D66">IFERROR(INDEX(고객사점검표!C$2:C$91, 1 / LARGE(INDEX((고객사점검표!$F$2:$F$91="확인 불가") / ROW(고객사점검표!$E$2:$E$91),), ROW($B6)) - 1), "")</f>
        <v/>
      </c>
      <c r="E66" s="85" t="str">
        <f t="array" ref="E66">IFERROR(INDEX(고객사점검표!D$2:D$91, 1 / LARGE(INDEX((고객사점검표!$F$2:$F$91="확인 불가") / ROW(고객사점검표!$E$2:$E$91),), ROW($B6)) - 1), "")</f>
        <v/>
      </c>
      <c r="F66" s="86" t="str">
        <f t="array" ref="F66">IFERROR(INDEX(고객사점검표!E$2:E$91, 1 / LARGE(INDEX((고객사점검표!$F$2:$F$91="확인 불가") / ROW(고객사점검표!$E$2:$E$91),), ROW($B6)) - 1), "")</f>
        <v/>
      </c>
      <c r="G66" s="85" t="str">
        <f t="array" ref="G66">IFERROR(INDEX(고객사점검표!F$2:F$91, 1 / LARGE(INDEX((고객사점검표!$F$2:$F$91="확인 불가") / ROW(고객사점검표!$E$2:$E$91),), ROW($B6)) - 1), "")</f>
        <v/>
      </c>
      <c r="H66" s="88" t="str">
        <f t="array" ref="H66">IFERROR(INDEX(고객사점검표!G$2:G$91, 1 / LARGE(INDEX((고객사점검표!$F$2:$F$91="확인 불가") / ROW(고객사점검표!$E$2:$E$91),), ROW($B6)) - 1), "")</f>
        <v/>
      </c>
      <c r="I66" s="50"/>
      <c r="J66" s="50"/>
    </row>
    <row r="67" spans="1:10" ht="13.5" customHeight="1">
      <c r="A67" s="50"/>
      <c r="B67" s="84"/>
      <c r="C67" s="85"/>
      <c r="D67" s="85"/>
      <c r="E67" s="85"/>
      <c r="F67" s="86"/>
      <c r="G67" s="85"/>
      <c r="H67" s="88"/>
      <c r="I67" s="50"/>
      <c r="J67" s="50"/>
    </row>
    <row r="68" spans="1:10" ht="13.5" customHeight="1">
      <c r="A68" s="50"/>
      <c r="B68" s="84"/>
      <c r="C68" s="85"/>
      <c r="D68" s="85"/>
      <c r="E68" s="85"/>
      <c r="F68" s="86"/>
      <c r="G68" s="85"/>
      <c r="H68" s="88"/>
      <c r="I68" s="50"/>
      <c r="J68" s="50"/>
    </row>
    <row r="69" spans="1:10" ht="13.5" customHeight="1">
      <c r="A69" s="50"/>
      <c r="B69" s="84"/>
      <c r="C69" s="85"/>
      <c r="D69" s="85"/>
      <c r="E69" s="85"/>
      <c r="F69" s="86"/>
      <c r="G69" s="85"/>
      <c r="H69" s="88"/>
      <c r="I69" s="50"/>
      <c r="J69" s="50"/>
    </row>
    <row r="70" spans="1:10" ht="13.5" customHeight="1">
      <c r="A70" s="50"/>
      <c r="B70" s="84"/>
      <c r="C70" s="85"/>
      <c r="D70" s="85"/>
      <c r="E70" s="85"/>
      <c r="F70" s="86"/>
      <c r="G70" s="85"/>
      <c r="H70" s="88"/>
      <c r="I70" s="50"/>
      <c r="J70" s="50"/>
    </row>
    <row r="71" spans="1:10" ht="13.5" customHeight="1">
      <c r="A71" s="73"/>
      <c r="B71" s="84" t="str">
        <f t="array" ref="B71">IFERROR(INDEX(고객사점검표!A$2:A$91, 1 / LARGE(INDEX((고객사점검표!$F$2:$F$91="확인 불가") / ROW(고객사점검표!$E$2:$E$91),), ROW($B7)) - 1), "")</f>
        <v/>
      </c>
      <c r="C71" s="85" t="str">
        <f t="array" ref="C71">IFERROR(INDEX(고객사점검표!B$2:B$91, 1 / LARGE(INDEX((고객사점검표!$F$2:$F$91="확인 불가") / ROW(고객사점검표!$E$2:$E$91),), ROW($B7)) - 1), "")</f>
        <v/>
      </c>
      <c r="D71" s="85" t="str">
        <f t="array" ref="D71">IFERROR(INDEX(고객사점검표!C$2:C$91, 1 / LARGE(INDEX((고객사점검표!$F$2:$F$91="확인 불가") / ROW(고객사점검표!$E$2:$E$91),), ROW($B7)) - 1), "")</f>
        <v/>
      </c>
      <c r="E71" s="85" t="str">
        <f t="array" ref="E71">IFERROR(INDEX(고객사점검표!D$2:D$91, 1 / LARGE(INDEX((고객사점검표!$F$2:$F$91="확인 불가") / ROW(고객사점검표!$E$2:$E$91),), ROW($B7)) - 1), "")</f>
        <v/>
      </c>
      <c r="F71" s="86" t="str">
        <f t="array" ref="F71">IFERROR(INDEX(고객사점검표!E$2:E$91, 1 / LARGE(INDEX((고객사점검표!$F$2:$F$91="확인 불가") / ROW(고객사점검표!$E$2:$E$91),), ROW($B7)) - 1), "")</f>
        <v/>
      </c>
      <c r="G71" s="85" t="str">
        <f t="array" ref="G71">IFERROR(INDEX(고객사점검표!F$2:F$91, 1 / LARGE(INDEX((고객사점검표!$F$2:$F$91="확인 불가") / ROW(고객사점검표!$E$2:$E$91),), ROW($B7)) - 1), "")</f>
        <v/>
      </c>
      <c r="H71" s="88" t="str">
        <f t="array" ref="H71">IFERROR(INDEX(고객사점검표!G$2:G$91, 1 / LARGE(INDEX((고객사점검표!$F$2:$F$91="확인 불가") / ROW(고객사점검표!$E$2:$E$91),), ROW($B7)) - 1), "")</f>
        <v/>
      </c>
      <c r="I71" s="73"/>
      <c r="J71" s="73"/>
    </row>
    <row r="72" spans="1:10" ht="13.5" customHeight="1">
      <c r="A72" s="73"/>
      <c r="B72" s="84"/>
      <c r="C72" s="85"/>
      <c r="D72" s="85"/>
      <c r="E72" s="85"/>
      <c r="F72" s="86"/>
      <c r="G72" s="85"/>
      <c r="H72" s="88"/>
      <c r="I72" s="73"/>
      <c r="J72" s="73"/>
    </row>
    <row r="73" spans="1:10" ht="13.5" customHeight="1">
      <c r="A73" s="73"/>
      <c r="B73" s="84"/>
      <c r="C73" s="85"/>
      <c r="D73" s="85"/>
      <c r="E73" s="85"/>
      <c r="F73" s="86"/>
      <c r="G73" s="85"/>
      <c r="H73" s="88"/>
      <c r="I73" s="73"/>
      <c r="J73" s="73"/>
    </row>
    <row r="74" spans="1:10" ht="13.5" customHeight="1">
      <c r="A74" s="73"/>
      <c r="B74" s="84"/>
      <c r="C74" s="85"/>
      <c r="D74" s="85"/>
      <c r="E74" s="85"/>
      <c r="F74" s="86"/>
      <c r="G74" s="85"/>
      <c r="H74" s="88"/>
      <c r="I74" s="73"/>
      <c r="J74" s="73"/>
    </row>
    <row r="75" spans="1:10" ht="13.5" customHeight="1">
      <c r="A75" s="73"/>
      <c r="B75" s="84"/>
      <c r="C75" s="85"/>
      <c r="D75" s="85"/>
      <c r="E75" s="85"/>
      <c r="F75" s="86"/>
      <c r="G75" s="85"/>
      <c r="H75" s="88"/>
      <c r="I75" s="73"/>
      <c r="J75" s="73"/>
    </row>
    <row r="76" spans="1:10" ht="13.5" customHeight="1">
      <c r="A76" s="73"/>
      <c r="B76" s="84"/>
      <c r="C76" s="85"/>
      <c r="D76" s="85"/>
      <c r="E76" s="85"/>
      <c r="F76" s="86"/>
      <c r="G76" s="85"/>
      <c r="H76" s="88"/>
      <c r="I76" s="73"/>
      <c r="J76" s="73"/>
    </row>
    <row r="77" spans="1:10" ht="13.5" customHeight="1">
      <c r="A77" s="73"/>
      <c r="B77" s="84" t="str">
        <f t="array" ref="B77">IFERROR(INDEX(고객사점검표!A$2:A$91, 1 / LARGE(INDEX((고객사점검표!$F$2:$F$91="확인 불가") / ROW(고객사점검표!$E$2:$E$91),), ROW($B8)) - 1), "")</f>
        <v/>
      </c>
      <c r="C77" s="85" t="str">
        <f t="array" ref="C77">IFERROR(INDEX(고객사점검표!B$2:B$91, 1 / LARGE(INDEX((고객사점검표!$F$2:$F$91="확인 불가") / ROW(고객사점검표!$E$2:$E$91),), ROW($B8)) - 1), "")</f>
        <v/>
      </c>
      <c r="D77" s="85" t="str">
        <f t="array" ref="D77">IFERROR(INDEX(고객사점검표!C$2:C$91, 1 / LARGE(INDEX((고객사점검표!$F$2:$F$91="확인 불가") / ROW(고객사점검표!$E$2:$E$91),), ROW($B8)) - 1), "")</f>
        <v/>
      </c>
      <c r="E77" s="85" t="str">
        <f t="array" ref="E77">IFERROR(INDEX(고객사점검표!D$2:D$91, 1 / LARGE(INDEX((고객사점검표!$F$2:$F$91="확인 불가") / ROW(고객사점검표!$E$2:$E$91),), ROW($B8)) - 1), "")</f>
        <v/>
      </c>
      <c r="F77" s="86" t="str">
        <f t="array" ref="F77">IFERROR(INDEX(고객사점검표!E$2:E$91, 1 / LARGE(INDEX((고객사점검표!$F$2:$F$91="확인 불가") / ROW(고객사점검표!$E$2:$E$91),), ROW($B8)) - 1), "")</f>
        <v/>
      </c>
      <c r="G77" s="85"/>
      <c r="H77" s="88" t="str">
        <f t="array" ref="H77">IFERROR(INDEX(고객사점검표!G$2:G$91, 1 / LARGE(INDEX((고객사점검표!$F$2:$F$91="확인 불가") / ROW(고객사점검표!$E$2:$E$91),), ROW($B8)) - 1), "")</f>
        <v/>
      </c>
      <c r="I77" s="73"/>
      <c r="J77" s="73"/>
    </row>
    <row r="78" spans="1:10" ht="13.5" customHeight="1">
      <c r="A78" s="73"/>
      <c r="B78" s="84" t="str">
        <f t="array" ref="B78">IFERROR(INDEX(고객사점검표!A$2:A$91, 1 / LARGE(INDEX((고객사점검표!$F$2:$F$91="확인 불가") / ROW(고객사점검표!$E$2:$E$91),), ROW($B9)) - 1), "")</f>
        <v/>
      </c>
      <c r="C78" s="85" t="str">
        <f t="array" ref="C78">IFERROR(INDEX(고객사점검표!B$2:B$91, 1 / LARGE(INDEX((고객사점검표!$F$2:$F$91="확인 불가") / ROW(고객사점검표!$E$2:$E$91),), ROW($B9)) - 1), "")</f>
        <v/>
      </c>
      <c r="D78" s="85" t="str">
        <f t="array" ref="D78">IFERROR(INDEX(고객사점검표!C$2:C$91, 1 / LARGE(INDEX((고객사점검표!$F$2:$F$91="확인 불가") / ROW(고객사점검표!$E$2:$E$91),), ROW($B9)) - 1), "")</f>
        <v/>
      </c>
      <c r="E78" s="85" t="str">
        <f t="array" ref="E78">IFERROR(INDEX(고객사점검표!D$2:D$91, 1 / LARGE(INDEX((고객사점검표!$F$2:$F$91="확인 불가") / ROW(고객사점검표!$E$2:$E$91),), ROW($B9)) - 1), "")</f>
        <v/>
      </c>
      <c r="F78" s="86" t="str">
        <f t="array" ref="F78">IFERROR(INDEX(고객사점검표!E$2:E$91, 1 / LARGE(INDEX((고객사점검표!$F$2:$F$91="확인 불가") / ROW(고객사점검표!$E$2:$E$91),), ROW($B9)) - 1), "")</f>
        <v/>
      </c>
      <c r="G78" s="85" t="str">
        <f t="array" ref="G78">IFERROR(INDEX(고객사점검표!F$2:F$91, 1 / LARGE(INDEX((고객사점검표!$F$2:$F$91="확인 불가") / ROW(고객사점검표!$E$2:$E$91),), ROW($B9)) - 1), "")</f>
        <v/>
      </c>
      <c r="H78" s="88" t="str">
        <f t="array" ref="H78">IFERROR(INDEX(고객사점검표!G$2:G$91, 1 / LARGE(INDEX((고객사점검표!$F$2:$F$91="확인 불가") / ROW(고객사점검표!$E$2:$E$91),), ROW($B9)) - 1), "")</f>
        <v/>
      </c>
      <c r="I78" s="73"/>
      <c r="J78" s="73"/>
    </row>
    <row r="79" spans="1:10" ht="13.5" customHeight="1">
      <c r="A79" s="73"/>
      <c r="B79" s="84" t="str">
        <f t="array" ref="B79">IFERROR(INDEX(고객사점검표!A$2:A$91, 1 / LARGE(INDEX((고객사점검표!$F$2:$F$91="확인 불가") / ROW(고객사점검표!$E$2:$E$91),), ROW($B10)) - 1), "")</f>
        <v/>
      </c>
      <c r="C79" s="85" t="str">
        <f t="array" ref="C79">IFERROR(INDEX(고객사점검표!B$2:B$91, 1 / LARGE(INDEX((고객사점검표!$F$2:$F$91="확인 불가") / ROW(고객사점검표!$E$2:$E$91),), ROW($B10)) - 1), "")</f>
        <v/>
      </c>
      <c r="D79" s="85" t="str">
        <f t="array" ref="D79">IFERROR(INDEX(고객사점검표!C$2:C$91, 1 / LARGE(INDEX((고객사점검표!$F$2:$F$91="확인 불가") / ROW(고객사점검표!$E$2:$E$91),), ROW($B10)) - 1), "")</f>
        <v/>
      </c>
      <c r="E79" s="85" t="str">
        <f t="array" ref="E79">IFERROR(INDEX(고객사점검표!D$2:D$91, 1 / LARGE(INDEX((고객사점검표!$F$2:$F$91="확인 불가") / ROW(고객사점검표!$E$2:$E$91),), ROW($B10)) - 1), "")</f>
        <v/>
      </c>
      <c r="F79" s="86" t="str">
        <f t="array" ref="F79">IFERROR(INDEX(고객사점검표!E$2:E$91, 1 / LARGE(INDEX((고객사점검표!$F$2:$F$91="확인 불가") / ROW(고객사점검표!$E$2:$E$91),), ROW($B10)) - 1), "")</f>
        <v/>
      </c>
      <c r="G79" s="85" t="str">
        <f t="array" ref="G79">IFERROR(INDEX(고객사점검표!F$2:F$91, 1 / LARGE(INDEX((고객사점검표!$F$2:$F$91="확인 불가") / ROW(고객사점검표!$E$2:$E$91),), ROW($B10)) - 1), "")</f>
        <v/>
      </c>
      <c r="H79" s="88" t="str">
        <f t="array" ref="H79">IFERROR(INDEX(고객사점검표!G$2:G$91, 1 / LARGE(INDEX((고객사점검표!$F$2:$F$91="확인 불가") / ROW(고객사점검표!$E$2:$E$91),), ROW($B10)) - 1), "")</f>
        <v/>
      </c>
      <c r="I79" s="73"/>
      <c r="J79" s="73"/>
    </row>
    <row r="80" spans="1:10" ht="13.5" customHeight="1">
      <c r="A80" s="73"/>
      <c r="B80" s="84"/>
      <c r="C80" s="85"/>
      <c r="D80" s="85"/>
      <c r="E80" s="85"/>
      <c r="F80" s="86"/>
      <c r="G80" s="85"/>
      <c r="H80" s="88"/>
      <c r="I80" s="73"/>
      <c r="J80" s="73"/>
    </row>
    <row r="81" spans="1:10" ht="13.5" customHeight="1">
      <c r="A81" s="73"/>
      <c r="B81" s="84" t="str">
        <f t="array" ref="B81">IFERROR(INDEX(고객사점검표!A$2:A$91, 1 / LARGE(INDEX((고객사점검표!$F$2:$F$91="확인 불가") / ROW(고객사점검표!$E$2:$E$91),), ROW($B11)) - 1), "")</f>
        <v/>
      </c>
      <c r="C81" s="85" t="str">
        <f t="array" ref="C81">IFERROR(INDEX(고객사점검표!B$2:B$91, 1 / LARGE(INDEX((고객사점검표!$F$2:$F$91="확인 불가") / ROW(고객사점검표!$E$2:$E$91),), ROW($B11)) - 1), "")</f>
        <v/>
      </c>
      <c r="D81" s="85" t="str">
        <f t="array" ref="D81">IFERROR(INDEX(고객사점검표!C$2:C$91, 1 / LARGE(INDEX((고객사점검표!$F$2:$F$91="확인 불가") / ROW(고객사점검표!$E$2:$E$91),), ROW($B11)) - 1), "")</f>
        <v/>
      </c>
      <c r="E81" s="85" t="str">
        <f t="array" ref="E81">IFERROR(INDEX(고객사점검표!D$2:D$91, 1 / LARGE(INDEX((고객사점검표!$F$2:$F$91="확인 불가") / ROW(고객사점검표!$E$2:$E$91),), ROW($B11)) - 1), "")</f>
        <v/>
      </c>
      <c r="F81" s="86" t="str">
        <f t="array" ref="F81">IFERROR(INDEX(고객사점검표!E$2:E$91, 1 / LARGE(INDEX((고객사점검표!$F$2:$F$91="확인 불가") / ROW(고객사점검표!$E$2:$E$91),), ROW($B11)) - 1), "")</f>
        <v/>
      </c>
      <c r="G81" s="85" t="str">
        <f t="array" ref="G81">IFERROR(INDEX(고객사점검표!F$2:F$91, 1 / LARGE(INDEX((고객사점검표!$F$2:$F$91="확인 불가") / ROW(고객사점검표!$E$2:$E$91),), ROW($B11)) - 1), "")</f>
        <v/>
      </c>
      <c r="H81" s="88" t="str">
        <f t="array" ref="H81">IFERROR(INDEX(고객사점검표!G$2:G$91, 1 / LARGE(INDEX((고객사점검표!$F$2:$F$91="확인 불가") / ROW(고객사점검표!$E$2:$E$91),), ROW($B11)) - 1), "")</f>
        <v/>
      </c>
      <c r="I81" s="73"/>
      <c r="J81" s="73"/>
    </row>
    <row r="82" spans="1:10" ht="13.5" customHeight="1">
      <c r="A82" s="73"/>
      <c r="B82" s="84" t="str">
        <f t="array" ref="B82">IFERROR(INDEX(고객사점검표!A$2:A$91, 1 / LARGE(INDEX((고객사점검표!$F$2:$F$91="확인 불가") / ROW(고객사점검표!$E$2:$E$91),), ROW($B12)) - 1), "")</f>
        <v/>
      </c>
      <c r="C82" s="85" t="str">
        <f t="array" ref="C82">IFERROR(INDEX(고객사점검표!B$2:B$91, 1 / LARGE(INDEX((고객사점검표!$F$2:$F$91="확인 불가") / ROW(고객사점검표!$E$2:$E$91),), ROW($B12)) - 1), "")</f>
        <v/>
      </c>
      <c r="D82" s="85" t="str">
        <f t="array" ref="D82">IFERROR(INDEX(고객사점검표!C$2:C$91, 1 / LARGE(INDEX((고객사점검표!$F$2:$F$91="확인 불가") / ROW(고객사점검표!$E$2:$E$91),), ROW($B12)) - 1), "")</f>
        <v/>
      </c>
      <c r="E82" s="85" t="str">
        <f t="array" ref="E82">IFERROR(INDEX(고객사점검표!D$2:D$91, 1 / LARGE(INDEX((고객사점검표!$F$2:$F$91="확인 불가") / ROW(고객사점검표!$E$2:$E$91),), ROW($B12)) - 1), "")</f>
        <v/>
      </c>
      <c r="F82" s="86" t="str">
        <f t="array" ref="F82">IFERROR(INDEX(고객사점검표!E$2:E$91, 1 / LARGE(INDEX((고객사점검표!$F$2:$F$91="확인 불가") / ROW(고객사점검표!$E$2:$E$91),), ROW($B12)) - 1), "")</f>
        <v/>
      </c>
      <c r="G82" s="85" t="str">
        <f t="array" ref="G82">IFERROR(INDEX(고객사점검표!F$2:F$91, 1 / LARGE(INDEX((고객사점검표!$F$2:$F$91="확인 불가") / ROW(고객사점검표!$E$2:$E$91),), ROW($B12)) - 1), "")</f>
        <v/>
      </c>
      <c r="H82" s="88" t="str">
        <f t="array" ref="H82">IFERROR(INDEX(고객사점검표!G$2:G$91, 1 / LARGE(INDEX((고객사점검표!$F$2:$F$91="확인 불가") / ROW(고객사점검표!$E$2:$E$91),), ROW($B12)) - 1), "")</f>
        <v/>
      </c>
      <c r="I82" s="73"/>
      <c r="J82" s="73"/>
    </row>
    <row r="83" spans="1:10" ht="13.5" customHeight="1">
      <c r="A83" s="73"/>
      <c r="B83" s="84" t="str">
        <f t="array" ref="B83">IFERROR(INDEX(고객사점검표!A$2:A$91, 1 / LARGE(INDEX((고객사점검표!$F$2:$F$91="확인 불가") / ROW(고객사점검표!$E$2:$E$91),), ROW($B13)) - 1), "")</f>
        <v/>
      </c>
      <c r="C83" s="85" t="str">
        <f t="array" ref="C83">IFERROR(INDEX(고객사점검표!B$2:B$91, 1 / LARGE(INDEX((고객사점검표!$F$2:$F$91="확인 불가") / ROW(고객사점검표!$E$2:$E$91),), ROW($B13)) - 1), "")</f>
        <v/>
      </c>
      <c r="D83" s="85" t="str">
        <f t="array" ref="D83">IFERROR(INDEX(고객사점검표!C$2:C$91, 1 / LARGE(INDEX((고객사점검표!$F$2:$F$91="확인 불가") / ROW(고객사점검표!$E$2:$E$91),), ROW($B13)) - 1), "")</f>
        <v/>
      </c>
      <c r="E83" s="85" t="str">
        <f t="array" ref="E83">IFERROR(INDEX(고객사점검표!D$2:D$91, 1 / LARGE(INDEX((고객사점검표!$F$2:$F$91="확인 불가") / ROW(고객사점검표!$E$2:$E$91),), ROW($B13)) - 1), "")</f>
        <v/>
      </c>
      <c r="F83" s="86" t="str">
        <f t="array" ref="F83">IFERROR(INDEX(고객사점검표!E$2:E$91, 1 / LARGE(INDEX((고객사점검표!$F$2:$F$91="확인 불가") / ROW(고객사점검표!$E$2:$E$91),), ROW($B13)) - 1), "")</f>
        <v/>
      </c>
      <c r="G83" s="85" t="str">
        <f t="array" ref="G83">IFERROR(INDEX(고객사점검표!F$2:F$91, 1 / LARGE(INDEX((고객사점검표!$F$2:$F$91="확인 불가") / ROW(고객사점검표!$E$2:$E$91),), ROW($B13)) - 1), "")</f>
        <v/>
      </c>
      <c r="H83" s="88" t="str">
        <f t="array" ref="H83">IFERROR(INDEX(고객사점검표!G$2:G$91, 1 / LARGE(INDEX((고객사점검표!$F$2:$F$91="확인 불가") / ROW(고객사점검표!$E$2:$E$91),), ROW($B13)) - 1), "")</f>
        <v/>
      </c>
      <c r="I83" s="73"/>
      <c r="J83" s="73"/>
    </row>
    <row r="84" spans="1:10" ht="13.5" customHeight="1">
      <c r="A84" s="73"/>
      <c r="B84" s="84" t="str">
        <f t="array" ref="B84">IFERROR(INDEX(고객사점검표!A$2:A$91, 1 / LARGE(INDEX((고객사점검표!$F$2:$F$91="확인 불가") / ROW(고객사점검표!$E$2:$E$91),), ROW($B14)) - 1), "")</f>
        <v/>
      </c>
      <c r="C84" s="85" t="str">
        <f t="array" ref="C84">IFERROR(INDEX(고객사점검표!B$2:B$91, 1 / LARGE(INDEX((고객사점검표!$F$2:$F$91="확인 불가") / ROW(고객사점검표!$E$2:$E$91),), ROW($B14)) - 1), "")</f>
        <v/>
      </c>
      <c r="D84" s="85" t="str">
        <f t="array" ref="D84">IFERROR(INDEX(고객사점검표!C$2:C$91, 1 / LARGE(INDEX((고객사점검표!$F$2:$F$91="확인 불가") / ROW(고객사점검표!$E$2:$E$91),), ROW($B14)) - 1), "")</f>
        <v/>
      </c>
      <c r="E84" s="85" t="str">
        <f t="array" ref="E84">IFERROR(INDEX(고객사점검표!D$2:D$91, 1 / LARGE(INDEX((고객사점검표!$F$2:$F$91="확인 불가") / ROW(고객사점검표!$E$2:$E$91),), ROW($B14)) - 1), "")</f>
        <v/>
      </c>
      <c r="F84" s="86" t="str">
        <f t="array" ref="F84">IFERROR(INDEX(고객사점검표!E$2:E$91, 1 / LARGE(INDEX((고객사점검표!$F$2:$F$91="확인 불가") / ROW(고객사점검표!$E$2:$E$91),), ROW($B14)) - 1), "")</f>
        <v/>
      </c>
      <c r="G84" s="85" t="str">
        <f t="array" ref="G84">IFERROR(INDEX(고객사점검표!F$2:F$91, 1 / LARGE(INDEX((고객사점검표!$F$2:$F$91="확인 불가") / ROW(고객사점검표!$E$2:$E$91),), ROW($B14)) - 1), "")</f>
        <v/>
      </c>
      <c r="H84" s="88" t="str">
        <f t="array" ref="H84">IFERROR(INDEX(고객사점검표!G$2:G$91, 1 / LARGE(INDEX((고객사점검표!$F$2:$F$91="확인 불가") / ROW(고객사점검표!$E$2:$E$91),), ROW($B14)) - 1), "")</f>
        <v/>
      </c>
      <c r="I84" s="73"/>
      <c r="J84" s="73"/>
    </row>
    <row r="85" spans="1:10" ht="13.5" customHeight="1">
      <c r="A85" s="73"/>
      <c r="B85" s="84" t="str">
        <f t="array" ref="B85">IFERROR(INDEX(고객사점검표!A$2:A$91, 1 / LARGE(INDEX((고객사점검표!$F$2:$F$91="확인 불가") / ROW(고객사점검표!$E$2:$E$91),), ROW($B15)) - 1), "")</f>
        <v/>
      </c>
      <c r="C85" s="85" t="str">
        <f t="array" ref="C85">IFERROR(INDEX(고객사점검표!B$2:B$91, 1 / LARGE(INDEX((고객사점검표!$F$2:$F$91="확인 불가") / ROW(고객사점검표!$E$2:$E$91),), ROW($B15)) - 1), "")</f>
        <v/>
      </c>
      <c r="D85" s="85" t="str">
        <f t="array" ref="D85">IFERROR(INDEX(고객사점검표!C$2:C$91, 1 / LARGE(INDEX((고객사점검표!$F$2:$F$91="확인 불가") / ROW(고객사점검표!$E$2:$E$91),), ROW($B15)) - 1), "")</f>
        <v/>
      </c>
      <c r="E85" s="85" t="str">
        <f t="array" ref="E85">IFERROR(INDEX(고객사점검표!D$2:D$91, 1 / LARGE(INDEX((고객사점검표!$F$2:$F$91="확인 불가") / ROW(고객사점검표!$E$2:$E$91),), ROW($B15)) - 1), "")</f>
        <v/>
      </c>
      <c r="F85" s="86" t="str">
        <f t="array" ref="F85">IFERROR(INDEX(고객사점검표!E$2:E$91, 1 / LARGE(INDEX((고객사점검표!$F$2:$F$91="확인 불가") / ROW(고객사점검표!$E$2:$E$91),), ROW($B15)) - 1), "")</f>
        <v/>
      </c>
      <c r="G85" s="85" t="str">
        <f t="array" ref="G85">IFERROR(INDEX(고객사점검표!F$2:F$91, 1 / LARGE(INDEX((고객사점검표!$F$2:$F$91="확인 불가") / ROW(고객사점검표!$E$2:$E$91),), ROW($B15)) - 1), "")</f>
        <v/>
      </c>
      <c r="H85" s="88" t="str">
        <f t="array" ref="H85">IFERROR(INDEX(고객사점검표!G$2:G$91, 1 / LARGE(INDEX((고객사점검표!$F$2:$F$91="확인 불가") / ROW(고객사점검표!$E$2:$E$91),), ROW($B15)) - 1), "")</f>
        <v/>
      </c>
      <c r="I85" s="73"/>
      <c r="J85" s="73"/>
    </row>
    <row r="86" spans="1:10" ht="13.5" customHeight="1">
      <c r="A86" s="73"/>
      <c r="B86" s="84" t="str">
        <f t="array" ref="B86">IFERROR(INDEX(고객사점검표!A$2:A$91, 1 / LARGE(INDEX((고객사점검표!$F$2:$F$91="확인 불가") / ROW(고객사점검표!$E$2:$E$91),), ROW($B16)) - 1), "")</f>
        <v/>
      </c>
      <c r="C86" s="85" t="str">
        <f t="array" ref="C86">IFERROR(INDEX(고객사점검표!B$2:B$91, 1 / LARGE(INDEX((고객사점검표!$F$2:$F$91="확인 불가") / ROW(고객사점검표!$E$2:$E$91),), ROW($B16)) - 1), "")</f>
        <v/>
      </c>
      <c r="D86" s="85" t="str">
        <f t="array" ref="D86">IFERROR(INDEX(고객사점검표!C$2:C$91, 1 / LARGE(INDEX((고객사점검표!$F$2:$F$91="확인 불가") / ROW(고객사점검표!$E$2:$E$91),), ROW($B16)) - 1), "")</f>
        <v/>
      </c>
      <c r="E86" s="85" t="str">
        <f t="array" ref="E86">IFERROR(INDEX(고객사점검표!D$2:D$91, 1 / LARGE(INDEX((고객사점검표!$F$2:$F$91="확인 불가") / ROW(고객사점검표!$E$2:$E$91),), ROW($B16)) - 1), "")</f>
        <v/>
      </c>
      <c r="F86" s="86" t="str">
        <f t="array" ref="F86">IFERROR(INDEX(고객사점검표!E$2:E$91, 1 / LARGE(INDEX((고객사점검표!$F$2:$F$91="확인 불가") / ROW(고객사점검표!$E$2:$E$91),), ROW($B16)) - 1), "")</f>
        <v/>
      </c>
      <c r="G86" s="85" t="str">
        <f t="array" ref="G86">IFERROR(INDEX(고객사점검표!F$2:F$91, 1 / LARGE(INDEX((고객사점검표!$F$2:$F$91="확인 불가") / ROW(고객사점검표!$E$2:$E$91),), ROW($B16)) - 1), "")</f>
        <v/>
      </c>
      <c r="H86" s="88" t="str">
        <f t="array" ref="H86">IFERROR(INDEX(고객사점검표!G$2:G$91, 1 / LARGE(INDEX((고객사점검표!$F$2:$F$91="확인 불가") / ROW(고객사점검표!$E$2:$E$91),), ROW($B16)) - 1), "")</f>
        <v/>
      </c>
      <c r="I86" s="73"/>
      <c r="J86" s="73"/>
    </row>
    <row r="87" spans="1:10" ht="13.5" customHeight="1">
      <c r="A87" s="73"/>
      <c r="B87" s="84" t="str">
        <f t="array" ref="B87">IFERROR(INDEX(고객사점검표!A$2:A$91, 1 / LARGE(INDEX((고객사점검표!$F$2:$F$91="확인 불가") / ROW(고객사점검표!$E$2:$E$91),), ROW($B17)) - 1), "")</f>
        <v/>
      </c>
      <c r="C87" s="85" t="str">
        <f t="array" ref="C87">IFERROR(INDEX(고객사점검표!B$2:B$91, 1 / LARGE(INDEX((고객사점검표!$F$2:$F$91="확인 불가") / ROW(고객사점검표!$E$2:$E$91),), ROW($B17)) - 1), "")</f>
        <v/>
      </c>
      <c r="D87" s="85" t="str">
        <f t="array" ref="D87">IFERROR(INDEX(고객사점검표!C$2:C$91, 1 / LARGE(INDEX((고객사점검표!$F$2:$F$91="확인 불가") / ROW(고객사점검표!$E$2:$E$91),), ROW($B17)) - 1), "")</f>
        <v/>
      </c>
      <c r="E87" s="85" t="str">
        <f t="array" ref="E87">IFERROR(INDEX(고객사점검표!D$2:D$91, 1 / LARGE(INDEX((고객사점검표!$F$2:$F$91="확인 불가") / ROW(고객사점검표!$E$2:$E$91),), ROW($B17)) - 1), "")</f>
        <v/>
      </c>
      <c r="F87" s="86" t="str">
        <f t="array" ref="F87">IFERROR(INDEX(고객사점검표!E$2:E$91, 1 / LARGE(INDEX((고객사점검표!$F$2:$F$91="확인 불가") / ROW(고객사점검표!$E$2:$E$91),), ROW($B17)) - 1), "")</f>
        <v/>
      </c>
      <c r="G87" s="85" t="str">
        <f t="array" ref="G87">IFERROR(INDEX(고객사점검표!F$2:F$91, 1 / LARGE(INDEX((고객사점검표!$F$2:$F$91="확인 불가") / ROW(고객사점검표!$E$2:$E$91),), ROW($B17)) - 1), "")</f>
        <v/>
      </c>
      <c r="H87" s="88" t="str">
        <f t="array" ref="H87">IFERROR(INDEX(고객사점검표!G$2:G$91, 1 / LARGE(INDEX((고객사점검표!$F$2:$F$91="확인 불가") / ROW(고객사점검표!$E$2:$E$91),), ROW($B17)) - 1), "")</f>
        <v/>
      </c>
      <c r="I87" s="73"/>
      <c r="J87" s="73"/>
    </row>
    <row r="88" spans="1:10" ht="13.5" customHeight="1">
      <c r="A88" s="73"/>
      <c r="B88" s="84" t="str">
        <f t="array" ref="B88">IFERROR(INDEX(고객사점검표!A$2:A$91, 1 / LARGE(INDEX((고객사점검표!$F$2:$F$91="확인 불가") / ROW(고객사점검표!$E$2:$E$91),), ROW($B18)) - 1), "")</f>
        <v/>
      </c>
      <c r="C88" s="85" t="str">
        <f t="array" ref="C88">IFERROR(INDEX(고객사점검표!B$2:B$91, 1 / LARGE(INDEX((고객사점검표!$F$2:$F$91="확인 불가") / ROW(고객사점검표!$E$2:$E$91),), ROW($B18)) - 1), "")</f>
        <v/>
      </c>
      <c r="D88" s="85" t="str">
        <f t="array" ref="D88">IFERROR(INDEX(고객사점검표!C$2:C$91, 1 / LARGE(INDEX((고객사점검표!$F$2:$F$91="확인 불가") / ROW(고객사점검표!$E$2:$E$91),), ROW($B18)) - 1), "")</f>
        <v/>
      </c>
      <c r="E88" s="85" t="str">
        <f t="array" ref="E88">IFERROR(INDEX(고객사점검표!D$2:D$91, 1 / LARGE(INDEX((고객사점검표!$F$2:$F$91="확인 불가") / ROW(고객사점검표!$E$2:$E$91),), ROW($B18)) - 1), "")</f>
        <v/>
      </c>
      <c r="F88" s="86" t="str">
        <f t="array" ref="F88">IFERROR(INDEX(고객사점검표!E$2:E$91, 1 / LARGE(INDEX((고객사점검표!$F$2:$F$91="확인 불가") / ROW(고객사점검표!$E$2:$E$91),), ROW($B18)) - 1), "")</f>
        <v/>
      </c>
      <c r="G88" s="85" t="str">
        <f t="array" ref="G88">IFERROR(INDEX(고객사점검표!F$2:F$91, 1 / LARGE(INDEX((고객사점검표!$F$2:$F$91="확인 불가") / ROW(고객사점검표!$E$2:$E$91),), ROW($B18)) - 1), "")</f>
        <v/>
      </c>
      <c r="H88" s="88" t="str">
        <f t="array" ref="H88">IFERROR(INDEX(고객사점검표!G$2:G$91, 1 / LARGE(INDEX((고객사점검표!$F$2:$F$91="확인 불가") / ROW(고객사점검표!$E$2:$E$91),), ROW($B18)) - 1), "")</f>
        <v/>
      </c>
      <c r="I88" s="73"/>
      <c r="J88" s="73"/>
    </row>
    <row r="89" spans="1:10" ht="13.5" customHeight="1">
      <c r="A89" s="73"/>
      <c r="B89" s="84" t="str">
        <f t="array" ref="B89">IFERROR(INDEX(고객사점검표!A$2:A$91, 1 / LARGE(INDEX((고객사점검표!$F$2:$F$91="확인 불가") / ROW(고객사점검표!$E$2:$E$91),), ROW($B19)) - 1), "")</f>
        <v/>
      </c>
      <c r="C89" s="85" t="str">
        <f t="array" ref="C89">IFERROR(INDEX(고객사점검표!B$2:B$91, 1 / LARGE(INDEX((고객사점검표!$F$2:$F$91="확인 불가") / ROW(고객사점검표!$E$2:$E$91),), ROW($B19)) - 1), "")</f>
        <v/>
      </c>
      <c r="D89" s="85" t="str">
        <f t="array" ref="D89">IFERROR(INDEX(고객사점검표!C$2:C$91, 1 / LARGE(INDEX((고객사점검표!$F$2:$F$91="확인 불가") / ROW(고객사점검표!$E$2:$E$91),), ROW($B19)) - 1), "")</f>
        <v/>
      </c>
      <c r="E89" s="85" t="str">
        <f t="array" ref="E89">IFERROR(INDEX(고객사점검표!D$2:D$91, 1 / LARGE(INDEX((고객사점검표!$F$2:$F$91="확인 불가") / ROW(고객사점검표!$E$2:$E$91),), ROW($B19)) - 1), "")</f>
        <v/>
      </c>
      <c r="F89" s="86" t="str">
        <f t="array" ref="F89">IFERROR(INDEX(고객사점검표!E$2:E$91, 1 / LARGE(INDEX((고객사점검표!$F$2:$F$91="확인 불가") / ROW(고객사점검표!$E$2:$E$91),), ROW($B19)) - 1), "")</f>
        <v/>
      </c>
      <c r="G89" s="85" t="str">
        <f t="array" ref="G89">IFERROR(INDEX(고객사점검표!F$2:F$91, 1 / LARGE(INDEX((고객사점검표!$F$2:$F$91="확인 불가") / ROW(고객사점검표!$E$2:$E$91),), ROW($B19)) - 1), "")</f>
        <v/>
      </c>
      <c r="H89" s="88" t="str">
        <f t="array" ref="H89">IFERROR(INDEX(고객사점검표!G$2:G$91, 1 / LARGE(INDEX((고객사점검표!$F$2:$F$91="확인 불가") / ROW(고객사점검표!$E$2:$E$91),), ROW($B19)) - 1), "")</f>
        <v/>
      </c>
      <c r="I89" s="73"/>
      <c r="J89" s="73"/>
    </row>
    <row r="90" spans="1:10" ht="12.75" customHeight="1">
      <c r="A90" s="73"/>
      <c r="B90" s="89" t="str">
        <f t="array" ref="B90">IFERROR(INDEX(고객사점검표!A$2:A$91, 1 / LARGE(INDEX((고객사점검표!$F$2:$F$91="확인 불가") / ROW(고객사점검표!$E$2:$E$91),), ROW($B20)) - 1), "")</f>
        <v/>
      </c>
      <c r="C90" s="90" t="str">
        <f t="array" ref="C90">IFERROR(INDEX(고객사점검표!B$2:B$91, 1 / LARGE(INDEX((고객사점검표!$F$2:$F$91="확인 불가") / ROW(고객사점검표!$E$2:$E$91),), ROW($B20)) - 1), "")</f>
        <v/>
      </c>
      <c r="D90" s="90" t="str">
        <f t="array" ref="D90">IFERROR(INDEX(고객사점검표!C$2:C$91, 1 / LARGE(INDEX((고객사점검표!$F$2:$F$91="확인 불가") / ROW(고객사점검표!$E$2:$E$91),), ROW($B20)) - 1), "")</f>
        <v/>
      </c>
      <c r="E90" s="90" t="str">
        <f t="array" ref="E90">IFERROR(INDEX(고객사점검표!D$2:D$91, 1 / LARGE(INDEX((고객사점검표!$F$2:$F$91="확인 불가") / ROW(고객사점검표!$E$2:$E$91),), ROW($B20)) - 1), "")</f>
        <v/>
      </c>
      <c r="F90" s="91" t="str">
        <f t="array" ref="F90">IFERROR(INDEX(고객사점검표!E$2:E$91, 1 / LARGE(INDEX((고객사점검표!$F$2:$F$91="확인 불가") / ROW(고객사점검표!$E$2:$E$91),), ROW($B20)) - 1), "")</f>
        <v/>
      </c>
      <c r="G90" s="90" t="str">
        <f t="array" ref="G90">IFERROR(INDEX(고객사점검표!F$2:F$91, 1 / LARGE(INDEX((고객사점검표!$F$2:$F$91="확인 불가") / ROW(고객사점검표!$E$2:$E$91),), ROW($B20)) - 1), "")</f>
        <v/>
      </c>
      <c r="H90" s="92" t="str">
        <f t="array" ref="H90">IFERROR(INDEX(고객사점검표!G$2:G$91, 1 / LARGE(INDEX((고객사점검표!$F$2:$F$91="확인 불가") / ROW(고객사점검표!$E$2:$E$91),), ROW($B20)) - 1), "")</f>
        <v/>
      </c>
      <c r="I90" s="73"/>
      <c r="J90" s="73"/>
    </row>
    <row r="91" spans="1:10" ht="13.5" customHeight="1">
      <c r="A91" s="50"/>
      <c r="B91" s="93" t="s">
        <v>515</v>
      </c>
      <c r="C91" s="94"/>
      <c r="D91" s="94"/>
      <c r="E91" s="94"/>
      <c r="F91" s="95"/>
      <c r="G91" s="94"/>
      <c r="H91" s="95"/>
      <c r="I91" s="50"/>
      <c r="J91" s="50"/>
    </row>
    <row r="92" spans="1:10" ht="21">
      <c r="A92" s="50"/>
      <c r="B92" s="96" t="s">
        <v>517</v>
      </c>
      <c r="C92" s="94"/>
      <c r="D92" s="94"/>
      <c r="E92" s="94"/>
      <c r="F92" s="95"/>
      <c r="G92" s="94"/>
      <c r="H92" s="97" t="str">
        <f>"[점검 완료 : " &amp; COUNTIF(G95:G140, "점검 완료") &amp; "]"</f>
        <v>[점검 완료 : 0]</v>
      </c>
      <c r="I92" s="50"/>
      <c r="J92" s="50"/>
    </row>
    <row r="93" spans="1:10" ht="3.75" customHeight="1">
      <c r="A93" s="50"/>
      <c r="B93" s="98" t="s">
        <v>515</v>
      </c>
      <c r="C93" s="94"/>
      <c r="D93" s="94"/>
      <c r="E93" s="94"/>
      <c r="F93" s="95"/>
      <c r="G93" s="94"/>
      <c r="H93" s="95"/>
      <c r="I93" s="50"/>
      <c r="J93" s="50"/>
    </row>
    <row r="94" spans="1:10" ht="15.75" customHeight="1">
      <c r="A94" s="50"/>
      <c r="B94" s="67" t="str">
        <f>고객사점검표!$A$1</f>
        <v>대분류</v>
      </c>
      <c r="C94" s="67" t="str">
        <f>고객사점검표!$B$1</f>
        <v>중분류</v>
      </c>
      <c r="D94" s="67" t="str">
        <f>고객사점검표!$C$1</f>
        <v>점검 항목</v>
      </c>
      <c r="E94" s="67" t="str">
        <f>고객사점검표!$D$1</f>
        <v>위험도</v>
      </c>
      <c r="F94" s="67" t="str">
        <f>고객사점검표!$E$1</f>
        <v>점검 내용</v>
      </c>
      <c r="G94" s="67" t="str">
        <f>고객사점검표!$F$1</f>
        <v>점검 결과</v>
      </c>
      <c r="H94" s="67" t="str">
        <f>고객사점검표!$G$1</f>
        <v>조치 안내</v>
      </c>
      <c r="I94" s="50"/>
      <c r="J94" s="50"/>
    </row>
    <row r="95" spans="1:10" ht="16.5">
      <c r="A95" s="73"/>
      <c r="B95" s="99" t="str">
        <f t="array" ref="B95">IFERROR(INDEX(고객사점검표!A$2:A$91,1/LARGE(INDEX(((고객사점검표!$F$2:$F$91="점검 완료")*(고객사점검표!B$2:B$91&lt;&gt;"기본 항목"))/ROW(고객사점검표!$E$2:$E$91),),ROW($B1))-1),"")</f>
        <v/>
      </c>
      <c r="C95" s="28" t="str">
        <f t="array" ref="C95">IFERROR(INDEX(고객사점검표!B$2:B$91,1/LARGE(INDEX(((고객사점검표!$F$2:$F$91="점검 완료")*(고객사점검표!B$2:B$91&lt;&gt;"기본 항목"))/ROW(고객사점검표!$E$2:$E$91),),ROW($B1))-1),"")</f>
        <v/>
      </c>
      <c r="D95" s="28" t="str">
        <f t="array" ref="D95">IFERROR(INDEX(고객사점검표!C$2:C$91,1/LARGE(INDEX(((고객사점검표!$F$2:$F$91="점검 완료")*(고객사점검표!B$2:B$91&lt;&gt;"기본 항목"))/ROW(고객사점검표!$E$2:$E$91),),ROW($B1))-1),"")</f>
        <v/>
      </c>
      <c r="E95" s="28" t="str">
        <f t="array" ref="E95">IFERROR(INDEX(고객사점검표!D$2:D$91,1/LARGE(INDEX(((고객사점검표!$F$2:$F$91="점검 완료")*(고객사점검표!B$2:B$91&lt;&gt;"기본 항목"))/ROW(고객사점검표!$E$2:$E$91),),ROW($B1))-1),"")</f>
        <v/>
      </c>
      <c r="F95" s="28" t="str">
        <f t="array" ref="F95">IFERROR(INDEX(고객사점검표!E$2:E$91,1/LARGE(INDEX(((고객사점검표!$F$2:$F$91="점검 완료")*(고객사점검표!B$2:B$91&lt;&gt;"기본 항목"))/ROW(고객사점검표!$E$2:$E$91),),ROW($B1))-1),"")</f>
        <v/>
      </c>
      <c r="G95" s="85" t="str">
        <f t="array" ref="G95">IFERROR(INDEX(고객사점검표!F$2:F$91,1/LARGE(INDEX(((고객사점검표!$F$2:$F$91="점검 완료")*(고객사점검표!B$2:B$91&lt;&gt;"기본 항목"))/ROW(고객사점검표!$E$2:$E$91),),ROW($B1))-1),"")</f>
        <v/>
      </c>
      <c r="H95" s="100" t="str">
        <f t="array" ref="H95">IFERROR(INDEX(고객사점검표!G$2:G$91,1/LARGE(INDEX(((고객사점검표!$F$2:$F$91="점검 완료")*(고객사점검표!B$2:B$91&lt;&gt;"기본 항목"))/ROW(고객사점검표!$E$2:$E$91),),ROW($B1))-1),"")</f>
        <v/>
      </c>
      <c r="I95" s="73"/>
      <c r="J95" s="73"/>
    </row>
    <row r="96" spans="1:10" ht="16.5">
      <c r="A96" s="73"/>
      <c r="B96" s="99" t="str">
        <f t="array" ref="B96">IFERROR(INDEX(고객사점검표!A$2:A$91,1/LARGE(INDEX(((고객사점검표!$F$2:$F$91="점검 완료")*(고객사점검표!B$2:B$91&lt;&gt;"기본 항목"))/ROW(고객사점검표!$E$2:$E$91),),ROW($B2))-1),"")</f>
        <v/>
      </c>
      <c r="C96" s="28" t="str">
        <f t="array" ref="C96">IFERROR(INDEX(고객사점검표!B$2:B$91,1/LARGE(INDEX(((고객사점검표!$F$2:$F$91="점검 완료")*(고객사점검표!B$2:B$91&lt;&gt;"기본 항목"))/ROW(고객사점검표!$E$2:$E$91),),ROW($B2))-1),"")</f>
        <v/>
      </c>
      <c r="D96" s="28" t="str">
        <f t="array" ref="D96">IFERROR(INDEX(고객사점검표!C$2:C$91,1/LARGE(INDEX(((고객사점검표!$F$2:$F$91="점검 완료")*(고객사점검표!B$2:B$91&lt;&gt;"기본 항목"))/ROW(고객사점검표!$E$2:$E$91),),ROW($B2))-1),"")</f>
        <v/>
      </c>
      <c r="E96" s="28" t="str">
        <f t="array" ref="E96">IFERROR(INDEX(고객사점검표!D$2:D$91,1/LARGE(INDEX(((고객사점검표!$F$2:$F$91="점검 완료")*(고객사점검표!B$2:B$91&lt;&gt;"기본 항목"))/ROW(고객사점검표!$E$2:$E$91),),ROW($B2))-1),"")</f>
        <v/>
      </c>
      <c r="F96" s="28" t="str">
        <f t="array" ref="F96">IFERROR(INDEX(고객사점검표!E$2:E$91,1/LARGE(INDEX(((고객사점검표!$F$2:$F$91="점검 완료")*(고객사점검표!B$2:B$91&lt;&gt;"기본 항목"))/ROW(고객사점검표!$E$2:$E$91),),ROW($B2))-1),"")</f>
        <v/>
      </c>
      <c r="G96" s="85" t="str">
        <f t="array" ref="G96">IFERROR(INDEX(고객사점검표!F$2:F$91,1/LARGE(INDEX(((고객사점검표!$F$2:$F$91="점검 완료")*(고객사점검표!B$2:B$91&lt;&gt;"기본 항목"))/ROW(고객사점검표!$E$2:$E$91),),ROW($B2))-1),"")</f>
        <v/>
      </c>
      <c r="H96" s="100" t="str">
        <f t="array" ref="H96">IFERROR(INDEX(고객사점검표!G$2:G$91,1/LARGE(INDEX(((고객사점검표!$F$2:$F$91="점검 완료")*(고객사점검표!B$2:B$91&lt;&gt;"기본 항목"))/ROW(고객사점검표!$E$2:$E$91),),ROW($B2))-1),"")</f>
        <v/>
      </c>
      <c r="I96" s="73"/>
      <c r="J96" s="73"/>
    </row>
    <row r="97" spans="1:10" ht="16.5">
      <c r="A97" s="73"/>
      <c r="B97" s="99" t="str">
        <f t="array" ref="B97">IFERROR(INDEX(고객사점검표!A$2:A$91,1/LARGE(INDEX(((고객사점검표!$F$2:$F$91="점검 완료")*(고객사점검표!B$2:B$91&lt;&gt;"기본 항목"))/ROW(고객사점검표!$E$2:$E$91),),ROW($B3))-1),"")</f>
        <v/>
      </c>
      <c r="C97" s="28" t="str">
        <f t="array" ref="C97">IFERROR(INDEX(고객사점검표!B$2:B$91,1/LARGE(INDEX(((고객사점검표!$F$2:$F$91="점검 완료")*(고객사점검표!B$2:B$91&lt;&gt;"기본 항목"))/ROW(고객사점검표!$E$2:$E$91),),ROW($B3))-1),"")</f>
        <v/>
      </c>
      <c r="D97" s="28" t="str">
        <f t="array" ref="D97">IFERROR(INDEX(고객사점검표!C$2:C$91,1/LARGE(INDEX(((고객사점검표!$F$2:$F$91="점검 완료")*(고객사점검표!B$2:B$91&lt;&gt;"기본 항목"))/ROW(고객사점검표!$E$2:$E$91),),ROW($B3))-1),"")</f>
        <v/>
      </c>
      <c r="E97" s="28" t="str">
        <f t="array" ref="E97">IFERROR(INDEX(고객사점검표!D$2:D$91,1/LARGE(INDEX(((고객사점검표!$F$2:$F$91="점검 완료")*(고객사점검표!B$2:B$91&lt;&gt;"기본 항목"))/ROW(고객사점검표!$E$2:$E$91),),ROW($B3))-1),"")</f>
        <v/>
      </c>
      <c r="F97" s="28" t="str">
        <f t="array" ref="F97">IFERROR(INDEX(고객사점검표!E$2:E$91,1/LARGE(INDEX(((고객사점검표!$F$2:$F$91="점검 완료")*(고객사점검표!B$2:B$91&lt;&gt;"기본 항목"))/ROW(고객사점검표!$E$2:$E$91),),ROW($B3))-1),"")</f>
        <v/>
      </c>
      <c r="G97" s="85" t="str">
        <f t="array" ref="G97">IFERROR(INDEX(고객사점검표!F$2:F$91,1/LARGE(INDEX(((고객사점검표!$F$2:$F$91="점검 완료")*(고객사점검표!B$2:B$91&lt;&gt;"기본 항목"))/ROW(고객사점검표!$E$2:$E$91),),ROW($B3))-1),"")</f>
        <v/>
      </c>
      <c r="H97" s="100" t="str">
        <f t="array" ref="H97">IFERROR(INDEX(고객사점검표!G$2:G$91,1/LARGE(INDEX(((고객사점검표!$F$2:$F$91="점검 완료")*(고객사점검표!B$2:B$91&lt;&gt;"기본 항목"))/ROW(고객사점검표!$E$2:$E$91),),ROW($B3))-1),"")</f>
        <v/>
      </c>
      <c r="I97" s="73"/>
      <c r="J97" s="73"/>
    </row>
    <row r="98" spans="1:10" ht="16.5">
      <c r="A98" s="73"/>
      <c r="B98" s="99" t="str">
        <f t="array" ref="B98">IFERROR(INDEX(고객사점검표!A$2:A$91,1/LARGE(INDEX(((고객사점검표!$F$2:$F$91="점검 완료")*(고객사점검표!B$2:B$91&lt;&gt;"기본 항목"))/ROW(고객사점검표!$E$2:$E$91),),ROW($B4))-1),"")</f>
        <v/>
      </c>
      <c r="C98" s="28" t="str">
        <f t="array" ref="C98">IFERROR(INDEX(고객사점검표!B$2:B$91,1/LARGE(INDEX(((고객사점검표!$F$2:$F$91="점검 완료")*(고객사점검표!B$2:B$91&lt;&gt;"기본 항목"))/ROW(고객사점검표!$E$2:$E$91),),ROW($B4))-1),"")</f>
        <v/>
      </c>
      <c r="D98" s="28" t="str">
        <f t="array" ref="D98">IFERROR(INDEX(고객사점검표!C$2:C$91,1/LARGE(INDEX(((고객사점검표!$F$2:$F$91="점검 완료")*(고객사점검표!B$2:B$91&lt;&gt;"기본 항목"))/ROW(고객사점검표!$E$2:$E$91),),ROW($B4))-1),"")</f>
        <v/>
      </c>
      <c r="E98" s="28" t="str">
        <f t="array" ref="E98">IFERROR(INDEX(고객사점검표!D$2:D$91,1/LARGE(INDEX(((고객사점검표!$F$2:$F$91="점검 완료")*(고객사점검표!B$2:B$91&lt;&gt;"기본 항목"))/ROW(고객사점검표!$E$2:$E$91),),ROW($B4))-1),"")</f>
        <v/>
      </c>
      <c r="F98" s="28" t="str">
        <f t="array" ref="F98">IFERROR(INDEX(고객사점검표!E$2:E$91,1/LARGE(INDEX(((고객사점검표!$F$2:$F$91="점검 완료")*(고객사점검표!B$2:B$91&lt;&gt;"기본 항목"))/ROW(고객사점검표!$E$2:$E$91),),ROW($B4))-1),"")</f>
        <v/>
      </c>
      <c r="G98" s="85" t="str">
        <f t="array" ref="G98">IFERROR(INDEX(고객사점검표!F$2:F$91,1/LARGE(INDEX(((고객사점검표!$F$2:$F$91="점검 완료")*(고객사점검표!B$2:B$91&lt;&gt;"기본 항목"))/ROW(고객사점검표!$E$2:$E$91),),ROW($B4))-1),"")</f>
        <v/>
      </c>
      <c r="H98" s="100" t="str">
        <f t="array" ref="H98">IFERROR(INDEX(고객사점검표!G$2:G$91,1/LARGE(INDEX(((고객사점검표!$F$2:$F$91="점검 완료")*(고객사점검표!B$2:B$91&lt;&gt;"기본 항목"))/ROW(고객사점검표!$E$2:$E$91),),ROW($B4))-1),"")</f>
        <v/>
      </c>
      <c r="I98" s="73"/>
      <c r="J98" s="73"/>
    </row>
    <row r="99" spans="1:10" ht="16.5">
      <c r="A99" s="73"/>
      <c r="B99" s="99" t="str">
        <f t="array" ref="B99">IFERROR(INDEX(고객사점검표!A$2:A$91,1/LARGE(INDEX(((고객사점검표!$F$2:$F$91="점검 완료")*(고객사점검표!B$2:B$91&lt;&gt;"기본 항목"))/ROW(고객사점검표!$E$2:$E$91),),ROW($B5))-1),"")</f>
        <v/>
      </c>
      <c r="C99" s="28" t="str">
        <f t="array" ref="C99">IFERROR(INDEX(고객사점검표!B$2:B$91,1/LARGE(INDEX(((고객사점검표!$F$2:$F$91="점검 완료")*(고객사점검표!B$2:B$91&lt;&gt;"기본 항목"))/ROW(고객사점검표!$E$2:$E$91),),ROW($B5))-1),"")</f>
        <v/>
      </c>
      <c r="D99" s="28" t="str">
        <f t="array" ref="D99">IFERROR(INDEX(고객사점검표!C$2:C$91,1/LARGE(INDEX(((고객사점검표!$F$2:$F$91="점검 완료")*(고객사점검표!B$2:B$91&lt;&gt;"기본 항목"))/ROW(고객사점검표!$E$2:$E$91),),ROW($B5))-1),"")</f>
        <v/>
      </c>
      <c r="E99" s="28" t="str">
        <f t="array" ref="E99">IFERROR(INDEX(고객사점검표!D$2:D$91,1/LARGE(INDEX(((고객사점검표!$F$2:$F$91="점검 완료")*(고객사점검표!B$2:B$91&lt;&gt;"기본 항목"))/ROW(고객사점검표!$E$2:$E$91),),ROW($B5))-1),"")</f>
        <v/>
      </c>
      <c r="F99" s="28" t="str">
        <f t="array" ref="F99">IFERROR(INDEX(고객사점검표!E$2:E$91,1/LARGE(INDEX(((고객사점검표!$F$2:$F$91="점검 완료")*(고객사점검표!B$2:B$91&lt;&gt;"기본 항목"))/ROW(고객사점검표!$E$2:$E$91),),ROW($B5))-1),"")</f>
        <v/>
      </c>
      <c r="G99" s="85" t="str">
        <f t="array" ref="G99">IFERROR(INDEX(고객사점검표!F$2:F$91,1/LARGE(INDEX(((고객사점검표!$F$2:$F$91="점검 완료")*(고객사점검표!B$2:B$91&lt;&gt;"기본 항목"))/ROW(고객사점검표!$E$2:$E$91),),ROW($B5))-1),"")</f>
        <v/>
      </c>
      <c r="H99" s="100" t="str">
        <f t="array" ref="H99">IFERROR(INDEX(고객사점검표!G$2:G$91,1/LARGE(INDEX(((고객사점검표!$F$2:$F$91="점검 완료")*(고객사점검표!B$2:B$91&lt;&gt;"기본 항목"))/ROW(고객사점검표!$E$2:$E$91),),ROW($B5))-1),"")</f>
        <v/>
      </c>
      <c r="I99" s="73"/>
      <c r="J99" s="73"/>
    </row>
    <row r="100" spans="1:10" ht="16.5">
      <c r="A100" s="73"/>
      <c r="B100" s="99" t="str">
        <f t="array" ref="B100">IFERROR(INDEX(고객사점검표!A$2:A$91,1/LARGE(INDEX(((고객사점검표!$F$2:$F$91="점검 완료")*(고객사점검표!B$2:B$91&lt;&gt;"기본 항목"))/ROW(고객사점검표!$E$2:$E$91),),ROW($B6))-1),"")</f>
        <v/>
      </c>
      <c r="C100" s="28" t="str">
        <f t="array" ref="C100">IFERROR(INDEX(고객사점검표!B$2:B$91,1/LARGE(INDEX(((고객사점검표!$F$2:$F$91="점검 완료")*(고객사점검표!B$2:B$91&lt;&gt;"기본 항목"))/ROW(고객사점검표!$E$2:$E$91),),ROW($B6))-1),"")</f>
        <v/>
      </c>
      <c r="D100" s="28" t="str">
        <f t="array" ref="D100">IFERROR(INDEX(고객사점검표!C$2:C$91,1/LARGE(INDEX(((고객사점검표!$F$2:$F$91="점검 완료")*(고객사점검표!B$2:B$91&lt;&gt;"기본 항목"))/ROW(고객사점검표!$E$2:$E$91),),ROW($B6))-1),"")</f>
        <v/>
      </c>
      <c r="E100" s="28" t="str">
        <f t="array" ref="E100">IFERROR(INDEX(고객사점검표!D$2:D$91,1/LARGE(INDEX(((고객사점검표!$F$2:$F$91="점검 완료")*(고객사점검표!B$2:B$91&lt;&gt;"기본 항목"))/ROW(고객사점검표!$E$2:$E$91),),ROW($B6))-1),"")</f>
        <v/>
      </c>
      <c r="F100" s="28" t="str">
        <f t="array" ref="F100">IFERROR(INDEX(고객사점검표!E$2:E$91,1/LARGE(INDEX(((고객사점검표!$F$2:$F$91="점검 완료")*(고객사점검표!B$2:B$91&lt;&gt;"기본 항목"))/ROW(고객사점검표!$E$2:$E$91),),ROW($B6))-1),"")</f>
        <v/>
      </c>
      <c r="G100" s="85" t="str">
        <f t="array" ref="G100">IFERROR(INDEX(고객사점검표!F$2:F$91,1/LARGE(INDEX(((고객사점검표!$F$2:$F$91="점검 완료")*(고객사점검표!B$2:B$91&lt;&gt;"기본 항목"))/ROW(고객사점검표!$E$2:$E$91),),ROW($B6))-1),"")</f>
        <v/>
      </c>
      <c r="H100" s="100" t="str">
        <f t="array" ref="H100">IFERROR(INDEX(고객사점검표!G$2:G$91,1/LARGE(INDEX(((고객사점검표!$F$2:$F$91="점검 완료")*(고객사점검표!B$2:B$91&lt;&gt;"기본 항목"))/ROW(고객사점검표!$E$2:$E$91),),ROW($B6))-1),"")</f>
        <v/>
      </c>
      <c r="I100" s="73"/>
      <c r="J100" s="73"/>
    </row>
    <row r="101" spans="1:10" ht="16.5">
      <c r="A101" s="73"/>
      <c r="B101" s="99" t="str">
        <f t="array" ref="B101">IFERROR(INDEX(고객사점검표!A$2:A$91,1/LARGE(INDEX(((고객사점검표!$F$2:$F$91="점검 완료")*(고객사점검표!B$2:B$91&lt;&gt;"기본 항목"))/ROW(고객사점검표!$E$2:$E$91),),ROW($B7))-1),"")</f>
        <v/>
      </c>
      <c r="C101" s="28" t="str">
        <f t="array" ref="C101">IFERROR(INDEX(고객사점검표!B$2:B$91,1/LARGE(INDEX(((고객사점검표!$F$2:$F$91="점검 완료")*(고객사점검표!B$2:B$91&lt;&gt;"기본 항목"))/ROW(고객사점검표!$E$2:$E$91),),ROW($B7))-1),"")</f>
        <v/>
      </c>
      <c r="D101" s="28" t="str">
        <f t="array" ref="D101">IFERROR(INDEX(고객사점검표!C$2:C$91,1/LARGE(INDEX(((고객사점검표!$F$2:$F$91="점검 완료")*(고객사점검표!B$2:B$91&lt;&gt;"기본 항목"))/ROW(고객사점검표!$E$2:$E$91),),ROW($B7))-1),"")</f>
        <v/>
      </c>
      <c r="E101" s="28" t="str">
        <f t="array" ref="E101">IFERROR(INDEX(고객사점검표!D$2:D$91,1/LARGE(INDEX(((고객사점검표!$F$2:$F$91="점검 완료")*(고객사점검표!B$2:B$91&lt;&gt;"기본 항목"))/ROW(고객사점검표!$E$2:$E$91),),ROW($B7))-1),"")</f>
        <v/>
      </c>
      <c r="F101" s="28" t="str">
        <f t="array" ref="F101">IFERROR(INDEX(고객사점검표!E$2:E$91,1/LARGE(INDEX(((고객사점검표!$F$2:$F$91="점검 완료")*(고객사점검표!B$2:B$91&lt;&gt;"기본 항목"))/ROW(고객사점검표!$E$2:$E$91),),ROW($B7))-1),"")</f>
        <v/>
      </c>
      <c r="G101" s="85" t="str">
        <f t="array" ref="G101">IFERROR(INDEX(고객사점검표!F$2:F$91,1/LARGE(INDEX(((고객사점검표!$F$2:$F$91="점검 완료")*(고객사점검표!B$2:B$91&lt;&gt;"기본 항목"))/ROW(고객사점검표!$E$2:$E$91),),ROW($B7))-1),"")</f>
        <v/>
      </c>
      <c r="H101" s="100" t="str">
        <f t="array" ref="H101">IFERROR(INDEX(고객사점검표!G$2:G$91,1/LARGE(INDEX(((고객사점검표!$F$2:$F$91="점검 완료")*(고객사점검표!B$2:B$91&lt;&gt;"기본 항목"))/ROW(고객사점검표!$E$2:$E$91),),ROW($B7))-1),"")</f>
        <v/>
      </c>
      <c r="I101" s="73"/>
      <c r="J101" s="73"/>
    </row>
    <row r="102" spans="1:10" ht="16.5">
      <c r="A102" s="73"/>
      <c r="B102" s="99" t="str">
        <f t="array" ref="B102">IFERROR(INDEX(고객사점검표!A$2:A$91,1/LARGE(INDEX(((고객사점검표!$F$2:$F$91="점검 완료")*(고객사점검표!B$2:B$91&lt;&gt;"기본 항목"))/ROW(고객사점검표!$E$2:$E$91),),ROW($B8))-1),"")</f>
        <v/>
      </c>
      <c r="C102" s="28" t="str">
        <f t="array" ref="C102">IFERROR(INDEX(고객사점검표!B$2:B$91,1/LARGE(INDEX(((고객사점검표!$F$2:$F$91="점검 완료")*(고객사점검표!B$2:B$91&lt;&gt;"기본 항목"))/ROW(고객사점검표!$E$2:$E$91),),ROW($B8))-1),"")</f>
        <v/>
      </c>
      <c r="D102" s="28" t="str">
        <f t="array" ref="D102">IFERROR(INDEX(고객사점검표!C$2:C$91,1/LARGE(INDEX(((고객사점검표!$F$2:$F$91="점검 완료")*(고객사점검표!B$2:B$91&lt;&gt;"기본 항목"))/ROW(고객사점검표!$E$2:$E$91),),ROW($B8))-1),"")</f>
        <v/>
      </c>
      <c r="E102" s="28" t="str">
        <f t="array" ref="E102">IFERROR(INDEX(고객사점검표!D$2:D$91,1/LARGE(INDEX(((고객사점검표!$F$2:$F$91="점검 완료")*(고객사점검표!B$2:B$91&lt;&gt;"기본 항목"))/ROW(고객사점검표!$E$2:$E$91),),ROW($B8))-1),"")</f>
        <v/>
      </c>
      <c r="F102" s="28" t="str">
        <f t="array" ref="F102">IFERROR(INDEX(고객사점검표!E$2:E$91,1/LARGE(INDEX(((고객사점검표!$F$2:$F$91="점검 완료")*(고객사점검표!B$2:B$91&lt;&gt;"기본 항목"))/ROW(고객사점검표!$E$2:$E$91),),ROW($B8))-1),"")</f>
        <v/>
      </c>
      <c r="G102" s="85" t="str">
        <f t="array" ref="G102">IFERROR(INDEX(고객사점검표!F$2:F$91,1/LARGE(INDEX(((고객사점검표!$F$2:$F$91="점검 완료")*(고객사점검표!B$2:B$91&lt;&gt;"기본 항목"))/ROW(고객사점검표!$E$2:$E$91),),ROW($B8))-1),"")</f>
        <v/>
      </c>
      <c r="H102" s="100" t="str">
        <f t="array" ref="H102">IFERROR(INDEX(고객사점검표!G$2:G$91,1/LARGE(INDEX(((고객사점검표!$F$2:$F$91="점검 완료")*(고객사점검표!B$2:B$91&lt;&gt;"기본 항목"))/ROW(고객사점검표!$E$2:$E$91),),ROW($B8))-1),"")</f>
        <v/>
      </c>
      <c r="I102" s="73"/>
      <c r="J102" s="73"/>
    </row>
    <row r="103" spans="1:10" ht="16.5">
      <c r="A103" s="73"/>
      <c r="B103" s="99" t="str">
        <f t="array" ref="B103">IFERROR(INDEX(고객사점검표!A$2:A$91,1/LARGE(INDEX(((고객사점검표!$F$2:$F$91="점검 완료")*(고객사점검표!B$2:B$91&lt;&gt;"기본 항목"))/ROW(고객사점검표!$E$2:$E$91),),ROW($B9))-1),"")</f>
        <v/>
      </c>
      <c r="C103" s="28" t="str">
        <f t="array" ref="C103">IFERROR(INDEX(고객사점검표!B$2:B$91,1/LARGE(INDEX(((고객사점검표!$F$2:$F$91="점검 완료")*(고객사점검표!B$2:B$91&lt;&gt;"기본 항목"))/ROW(고객사점검표!$E$2:$E$91),),ROW($B9))-1),"")</f>
        <v/>
      </c>
      <c r="D103" s="28" t="str">
        <f t="array" ref="D103">IFERROR(INDEX(고객사점검표!C$2:C$91,1/LARGE(INDEX(((고객사점검표!$F$2:$F$91="점검 완료")*(고객사점검표!B$2:B$91&lt;&gt;"기본 항목"))/ROW(고객사점검표!$E$2:$E$91),),ROW($B9))-1),"")</f>
        <v/>
      </c>
      <c r="E103" s="28" t="str">
        <f t="array" ref="E103">IFERROR(INDEX(고객사점검표!D$2:D$91,1/LARGE(INDEX(((고객사점검표!$F$2:$F$91="점검 완료")*(고객사점검표!B$2:B$91&lt;&gt;"기본 항목"))/ROW(고객사점검표!$E$2:$E$91),),ROW($B9))-1),"")</f>
        <v/>
      </c>
      <c r="F103" s="28" t="str">
        <f t="array" ref="F103">IFERROR(INDEX(고객사점검표!E$2:E$91,1/LARGE(INDEX(((고객사점검표!$F$2:$F$91="점검 완료")*(고객사점검표!B$2:B$91&lt;&gt;"기본 항목"))/ROW(고객사점검표!$E$2:$E$91),),ROW($B9))-1),"")</f>
        <v/>
      </c>
      <c r="G103" s="85" t="str">
        <f t="array" ref="G103">IFERROR(INDEX(고객사점검표!F$2:F$91,1/LARGE(INDEX(((고객사점검표!$F$2:$F$91="점검 완료")*(고객사점검표!B$2:B$91&lt;&gt;"기본 항목"))/ROW(고객사점검표!$E$2:$E$91),),ROW($B9))-1),"")</f>
        <v/>
      </c>
      <c r="H103" s="100" t="str">
        <f t="array" ref="H103">IFERROR(INDEX(고객사점검표!G$2:G$91,1/LARGE(INDEX(((고객사점검표!$F$2:$F$91="점검 완료")*(고객사점검표!B$2:B$91&lt;&gt;"기본 항목"))/ROW(고객사점검표!$E$2:$E$91),),ROW($B9))-1),"")</f>
        <v/>
      </c>
      <c r="I103" s="73"/>
      <c r="J103" s="73"/>
    </row>
    <row r="104" spans="1:10" ht="16.5">
      <c r="A104" s="73"/>
      <c r="B104" s="99" t="str">
        <f t="array" ref="B104">IFERROR(INDEX(고객사점검표!A$2:A$91,1/LARGE(INDEX(((고객사점검표!$F$2:$F$91="점검 완료")*(고객사점검표!B$2:B$91&lt;&gt;"기본 항목"))/ROW(고객사점검표!$E$2:$E$91),),ROW($B10))-1),"")</f>
        <v/>
      </c>
      <c r="C104" s="28" t="str">
        <f t="array" ref="C104">IFERROR(INDEX(고객사점검표!B$2:B$91,1/LARGE(INDEX(((고객사점검표!$F$2:$F$91="점검 완료")*(고객사점검표!B$2:B$91&lt;&gt;"기본 항목"))/ROW(고객사점검표!$E$2:$E$91),),ROW($B10))-1),"")</f>
        <v/>
      </c>
      <c r="D104" s="28" t="str">
        <f t="array" ref="D104">IFERROR(INDEX(고객사점검표!C$2:C$91,1/LARGE(INDEX(((고객사점검표!$F$2:$F$91="점검 완료")*(고객사점검표!B$2:B$91&lt;&gt;"기본 항목"))/ROW(고객사점검표!$E$2:$E$91),),ROW($B10))-1),"")</f>
        <v/>
      </c>
      <c r="E104" s="28" t="str">
        <f t="array" ref="E104">IFERROR(INDEX(고객사점검표!D$2:D$91,1/LARGE(INDEX(((고객사점검표!$F$2:$F$91="점검 완료")*(고객사점검표!B$2:B$91&lt;&gt;"기본 항목"))/ROW(고객사점검표!$E$2:$E$91),),ROW($B10))-1),"")</f>
        <v/>
      </c>
      <c r="F104" s="28" t="str">
        <f t="array" ref="F104">IFERROR(INDEX(고객사점검표!E$2:E$91,1/LARGE(INDEX(((고객사점검표!$F$2:$F$91="점검 완료")*(고객사점검표!B$2:B$91&lt;&gt;"기본 항목"))/ROW(고객사점검표!$E$2:$E$91),),ROW($B10))-1),"")</f>
        <v/>
      </c>
      <c r="G104" s="85" t="str">
        <f t="array" ref="G104">IFERROR(INDEX(고객사점검표!F$2:F$91,1/LARGE(INDEX(((고객사점검표!$F$2:$F$91="점검 완료")*(고객사점검표!B$2:B$91&lt;&gt;"기본 항목"))/ROW(고객사점검표!$E$2:$E$91),),ROW($B10))-1),"")</f>
        <v/>
      </c>
      <c r="H104" s="100" t="str">
        <f t="array" ref="H104">IFERROR(INDEX(고객사점검표!G$2:G$91,1/LARGE(INDEX(((고객사점검표!$F$2:$F$91="점검 완료")*(고객사점검표!B$2:B$91&lt;&gt;"기본 항목"))/ROW(고객사점검표!$E$2:$E$91),),ROW($B10))-1),"")</f>
        <v/>
      </c>
      <c r="I104" s="73"/>
      <c r="J104" s="73"/>
    </row>
    <row r="105" spans="1:10" ht="16.5">
      <c r="A105" s="73"/>
      <c r="B105" s="99" t="str">
        <f t="array" ref="B105">IFERROR(INDEX(고객사점검표!A$2:A$91,1/LARGE(INDEX(((고객사점검표!$F$2:$F$91="점검 완료")*(고객사점검표!B$2:B$91&lt;&gt;"기본 항목"))/ROW(고객사점검표!$E$2:$E$91),),ROW($B11))-1),"")</f>
        <v/>
      </c>
      <c r="C105" s="28" t="str">
        <f t="array" ref="C105">IFERROR(INDEX(고객사점검표!B$2:B$91,1/LARGE(INDEX(((고객사점검표!$F$2:$F$91="점검 완료")*(고객사점검표!B$2:B$91&lt;&gt;"기본 항목"))/ROW(고객사점검표!$E$2:$E$91),),ROW($B11))-1),"")</f>
        <v/>
      </c>
      <c r="D105" s="28" t="str">
        <f t="array" ref="D105">IFERROR(INDEX(고객사점검표!C$2:C$91,1/LARGE(INDEX(((고객사점검표!$F$2:$F$91="점검 완료")*(고객사점검표!B$2:B$91&lt;&gt;"기본 항목"))/ROW(고객사점검표!$E$2:$E$91),),ROW($B11))-1),"")</f>
        <v/>
      </c>
      <c r="E105" s="28" t="str">
        <f t="array" ref="E105">IFERROR(INDEX(고객사점검표!D$2:D$91,1/LARGE(INDEX(((고객사점검표!$F$2:$F$91="점검 완료")*(고객사점검표!B$2:B$91&lt;&gt;"기본 항목"))/ROW(고객사점검표!$E$2:$E$91),),ROW($B11))-1),"")</f>
        <v/>
      </c>
      <c r="F105" s="28" t="str">
        <f t="array" ref="F105">IFERROR(INDEX(고객사점검표!E$2:E$91,1/LARGE(INDEX(((고객사점검표!$F$2:$F$91="점검 완료")*(고객사점검표!B$2:B$91&lt;&gt;"기본 항목"))/ROW(고객사점검표!$E$2:$E$91),),ROW($B11))-1),"")</f>
        <v/>
      </c>
      <c r="G105" s="85" t="str">
        <f t="array" ref="G105">IFERROR(INDEX(고객사점검표!F$2:F$91,1/LARGE(INDEX(((고객사점검표!$F$2:$F$91="점검 완료")*(고객사점검표!B$2:B$91&lt;&gt;"기본 항목"))/ROW(고객사점검표!$E$2:$E$91),),ROW($B11))-1),"")</f>
        <v/>
      </c>
      <c r="H105" s="100" t="str">
        <f t="array" ref="H105">IFERROR(INDEX(고객사점검표!G$2:G$91,1/LARGE(INDEX(((고객사점검표!$F$2:$F$91="점검 완료")*(고객사점검표!B$2:B$91&lt;&gt;"기본 항목"))/ROW(고객사점검표!$E$2:$E$91),),ROW($B11))-1),"")</f>
        <v/>
      </c>
      <c r="I105" s="73"/>
      <c r="J105" s="73"/>
    </row>
    <row r="106" spans="1:10" ht="16.5">
      <c r="A106" s="73"/>
      <c r="B106" s="99" t="str">
        <f t="array" ref="B106">IFERROR(INDEX(고객사점검표!A$2:A$91,1/LARGE(INDEX(((고객사점검표!$F$2:$F$91="점검 완료")*(고객사점검표!B$2:B$91&lt;&gt;"기본 항목"))/ROW(고객사점검표!$E$2:$E$91),),ROW($B12))-1),"")</f>
        <v/>
      </c>
      <c r="C106" s="28" t="str">
        <f t="array" ref="C106">IFERROR(INDEX(고객사점검표!B$2:B$91,1/LARGE(INDEX(((고객사점검표!$F$2:$F$91="점검 완료")*(고객사점검표!B$2:B$91&lt;&gt;"기본 항목"))/ROW(고객사점검표!$E$2:$E$91),),ROW($B12))-1),"")</f>
        <v/>
      </c>
      <c r="D106" s="28" t="str">
        <f t="array" ref="D106">IFERROR(INDEX(고객사점검표!C$2:C$91,1/LARGE(INDEX(((고객사점검표!$F$2:$F$91="점검 완료")*(고객사점검표!B$2:B$91&lt;&gt;"기본 항목"))/ROW(고객사점검표!$E$2:$E$91),),ROW($B12))-1),"")</f>
        <v/>
      </c>
      <c r="E106" s="28" t="str">
        <f t="array" ref="E106">IFERROR(INDEX(고객사점검표!D$2:D$91,1/LARGE(INDEX(((고객사점검표!$F$2:$F$91="점검 완료")*(고객사점검표!B$2:B$91&lt;&gt;"기본 항목"))/ROW(고객사점검표!$E$2:$E$91),),ROW($B12))-1),"")</f>
        <v/>
      </c>
      <c r="F106" s="28" t="str">
        <f t="array" ref="F106">IFERROR(INDEX(고객사점검표!E$2:E$91,1/LARGE(INDEX(((고객사점검표!$F$2:$F$91="점검 완료")*(고객사점검표!B$2:B$91&lt;&gt;"기본 항목"))/ROW(고객사점검표!$E$2:$E$91),),ROW($B12))-1),"")</f>
        <v/>
      </c>
      <c r="G106" s="85" t="str">
        <f t="array" ref="G106">IFERROR(INDEX(고객사점검표!F$2:F$91,1/LARGE(INDEX(((고객사점검표!$F$2:$F$91="점검 완료")*(고객사점검표!B$2:B$91&lt;&gt;"기본 항목"))/ROW(고객사점검표!$E$2:$E$91),),ROW($B12))-1),"")</f>
        <v/>
      </c>
      <c r="H106" s="100" t="str">
        <f t="array" ref="H106">IFERROR(INDEX(고객사점검표!G$2:G$91,1/LARGE(INDEX(((고객사점검표!$F$2:$F$91="점검 완료")*(고객사점검표!B$2:B$91&lt;&gt;"기본 항목"))/ROW(고객사점검표!$E$2:$E$91),),ROW($B12))-1),"")</f>
        <v/>
      </c>
      <c r="I106" s="73"/>
      <c r="J106" s="73"/>
    </row>
    <row r="107" spans="1:10" ht="16.5">
      <c r="A107" s="73"/>
      <c r="B107" s="99" t="str">
        <f t="array" ref="B107">IFERROR(INDEX(고객사점검표!A$2:A$91,1/LARGE(INDEX(((고객사점검표!$F$2:$F$91="점검 완료")*(고객사점검표!B$2:B$91&lt;&gt;"기본 항목"))/ROW(고객사점검표!$E$2:$E$91),),ROW($B13))-1),"")</f>
        <v/>
      </c>
      <c r="C107" s="28" t="str">
        <f t="array" ref="C107">IFERROR(INDEX(고객사점검표!B$2:B$91,1/LARGE(INDEX(((고객사점검표!$F$2:$F$91="점검 완료")*(고객사점검표!B$2:B$91&lt;&gt;"기본 항목"))/ROW(고객사점검표!$E$2:$E$91),),ROW($B13))-1),"")</f>
        <v/>
      </c>
      <c r="D107" s="28" t="str">
        <f t="array" ref="D107">IFERROR(INDEX(고객사점검표!C$2:C$91,1/LARGE(INDEX(((고객사점검표!$F$2:$F$91="점검 완료")*(고객사점검표!B$2:B$91&lt;&gt;"기본 항목"))/ROW(고객사점검표!$E$2:$E$91),),ROW($B13))-1),"")</f>
        <v/>
      </c>
      <c r="E107" s="28" t="str">
        <f t="array" ref="E107">IFERROR(INDEX(고객사점검표!D$2:D$91,1/LARGE(INDEX(((고객사점검표!$F$2:$F$91="점검 완료")*(고객사점검표!B$2:B$91&lt;&gt;"기본 항목"))/ROW(고객사점검표!$E$2:$E$91),),ROW($B13))-1),"")</f>
        <v/>
      </c>
      <c r="F107" s="28" t="str">
        <f t="array" ref="F107">IFERROR(INDEX(고객사점검표!E$2:E$91,1/LARGE(INDEX(((고객사점검표!$F$2:$F$91="점검 완료")*(고객사점검표!B$2:B$91&lt;&gt;"기본 항목"))/ROW(고객사점검표!$E$2:$E$91),),ROW($B13))-1),"")</f>
        <v/>
      </c>
      <c r="G107" s="85" t="str">
        <f t="array" ref="G107">IFERROR(INDEX(고객사점검표!F$2:F$91,1/LARGE(INDEX(((고객사점검표!$F$2:$F$91="점검 완료")*(고객사점검표!B$2:B$91&lt;&gt;"기본 항목"))/ROW(고객사점검표!$E$2:$E$91),),ROW($B13))-1),"")</f>
        <v/>
      </c>
      <c r="H107" s="100" t="str">
        <f t="array" ref="H107">IFERROR(INDEX(고객사점검표!G$2:G$91,1/LARGE(INDEX(((고객사점검표!$F$2:$F$91="점검 완료")*(고객사점검표!B$2:B$91&lt;&gt;"기본 항목"))/ROW(고객사점검표!$E$2:$E$91),),ROW($B13))-1),"")</f>
        <v/>
      </c>
      <c r="I107" s="73"/>
      <c r="J107" s="73"/>
    </row>
    <row r="108" spans="1:10" ht="16.5">
      <c r="A108" s="73"/>
      <c r="B108" s="99" t="str">
        <f t="array" ref="B108">IFERROR(INDEX(고객사점검표!A$2:A$91,1/LARGE(INDEX(((고객사점검표!$F$2:$F$91="점검 완료")*(고객사점검표!B$2:B$91&lt;&gt;"기본 항목"))/ROW(고객사점검표!$E$2:$E$91),),ROW($B14))-1),"")</f>
        <v/>
      </c>
      <c r="C108" s="28" t="str">
        <f t="array" ref="C108">IFERROR(INDEX(고객사점검표!B$2:B$91,1/LARGE(INDEX(((고객사점검표!$F$2:$F$91="점검 완료")*(고객사점검표!B$2:B$91&lt;&gt;"기본 항목"))/ROW(고객사점검표!$E$2:$E$91),),ROW($B14))-1),"")</f>
        <v/>
      </c>
      <c r="D108" s="28" t="str">
        <f t="array" ref="D108">IFERROR(INDEX(고객사점검표!C$2:C$91,1/LARGE(INDEX(((고객사점검표!$F$2:$F$91="점검 완료")*(고객사점검표!B$2:B$91&lt;&gt;"기본 항목"))/ROW(고객사점검표!$E$2:$E$91),),ROW($B14))-1),"")</f>
        <v/>
      </c>
      <c r="E108" s="28" t="str">
        <f t="array" ref="E108">IFERROR(INDEX(고객사점검표!D$2:D$91,1/LARGE(INDEX(((고객사점검표!$F$2:$F$91="점검 완료")*(고객사점검표!B$2:B$91&lt;&gt;"기본 항목"))/ROW(고객사점검표!$E$2:$E$91),),ROW($B14))-1),"")</f>
        <v/>
      </c>
      <c r="F108" s="28" t="str">
        <f t="array" ref="F108">IFERROR(INDEX(고객사점검표!E$2:E$91,1/LARGE(INDEX(((고객사점검표!$F$2:$F$91="점검 완료")*(고객사점검표!B$2:B$91&lt;&gt;"기본 항목"))/ROW(고객사점검표!$E$2:$E$91),),ROW($B14))-1),"")</f>
        <v/>
      </c>
      <c r="G108" s="85" t="str">
        <f t="array" ref="G108">IFERROR(INDEX(고객사점검표!F$2:F$91,1/LARGE(INDEX(((고객사점검표!$F$2:$F$91="점검 완료")*(고객사점검표!B$2:B$91&lt;&gt;"기본 항목"))/ROW(고객사점검표!$E$2:$E$91),),ROW($B14))-1),"")</f>
        <v/>
      </c>
      <c r="H108" s="100" t="str">
        <f t="array" ref="H108">IFERROR(INDEX(고객사점검표!G$2:G$91,1/LARGE(INDEX(((고객사점검표!$F$2:$F$91="점검 완료")*(고객사점검표!B$2:B$91&lt;&gt;"기본 항목"))/ROW(고객사점검표!$E$2:$E$91),),ROW($B14))-1),"")</f>
        <v/>
      </c>
      <c r="I108" s="73"/>
      <c r="J108" s="73"/>
    </row>
    <row r="109" spans="1:10" ht="16.5">
      <c r="A109" s="73"/>
      <c r="B109" s="99" t="str">
        <f t="array" ref="B109">IFERROR(INDEX(고객사점검표!A$2:A$91,1/LARGE(INDEX(((고객사점검표!$F$2:$F$91="점검 완료")*(고객사점검표!B$2:B$91&lt;&gt;"기본 항목"))/ROW(고객사점검표!$E$2:$E$91),),ROW($B15))-1),"")</f>
        <v/>
      </c>
      <c r="C109" s="28" t="str">
        <f t="array" ref="C109">IFERROR(INDEX(고객사점검표!B$2:B$91,1/LARGE(INDEX(((고객사점검표!$F$2:$F$91="점검 완료")*(고객사점검표!B$2:B$91&lt;&gt;"기본 항목"))/ROW(고객사점검표!$E$2:$E$91),),ROW($B15))-1),"")</f>
        <v/>
      </c>
      <c r="D109" s="28" t="str">
        <f t="array" ref="D109">IFERROR(INDEX(고객사점검표!C$2:C$91,1/LARGE(INDEX(((고객사점검표!$F$2:$F$91="점검 완료")*(고객사점검표!B$2:B$91&lt;&gt;"기본 항목"))/ROW(고객사점검표!$E$2:$E$91),),ROW($B15))-1),"")</f>
        <v/>
      </c>
      <c r="E109" s="28" t="str">
        <f t="array" ref="E109">IFERROR(INDEX(고객사점검표!D$2:D$91,1/LARGE(INDEX(((고객사점검표!$F$2:$F$91="점검 완료")*(고객사점검표!B$2:B$91&lt;&gt;"기본 항목"))/ROW(고객사점검표!$E$2:$E$91),),ROW($B15))-1),"")</f>
        <v/>
      </c>
      <c r="F109" s="28" t="str">
        <f t="array" ref="F109">IFERROR(INDEX(고객사점검표!E$2:E$91,1/LARGE(INDEX(((고객사점검표!$F$2:$F$91="점검 완료")*(고객사점검표!B$2:B$91&lt;&gt;"기본 항목"))/ROW(고객사점검표!$E$2:$E$91),),ROW($B15))-1),"")</f>
        <v/>
      </c>
      <c r="G109" s="85" t="str">
        <f t="array" ref="G109">IFERROR(INDEX(고객사점검표!F$2:F$91,1/LARGE(INDEX(((고객사점검표!$F$2:$F$91="점검 완료")*(고객사점검표!B$2:B$91&lt;&gt;"기본 항목"))/ROW(고객사점검표!$E$2:$E$91),),ROW($B15))-1),"")</f>
        <v/>
      </c>
      <c r="H109" s="100" t="str">
        <f t="array" ref="H109">IFERROR(INDEX(고객사점검표!G$2:G$91,1/LARGE(INDEX(((고객사점검표!$F$2:$F$91="점검 완료")*(고객사점검표!B$2:B$91&lt;&gt;"기본 항목"))/ROW(고객사점검표!$E$2:$E$91),),ROW($B15))-1),"")</f>
        <v/>
      </c>
      <c r="I109" s="73"/>
      <c r="J109" s="73"/>
    </row>
    <row r="110" spans="1:10" ht="16.5">
      <c r="A110" s="73"/>
      <c r="B110" s="99" t="str">
        <f t="array" ref="B110">IFERROR(INDEX(고객사점검표!A$2:A$91,1/LARGE(INDEX(((고객사점검표!$F$2:$F$91="점검 완료")*(고객사점검표!B$2:B$91&lt;&gt;"기본 항목"))/ROW(고객사점검표!$E$2:$E$91),),ROW($B16))-1),"")</f>
        <v/>
      </c>
      <c r="C110" s="28" t="str">
        <f t="array" ref="C110">IFERROR(INDEX(고객사점검표!B$2:B$91,1/LARGE(INDEX(((고객사점검표!$F$2:$F$91="점검 완료")*(고객사점검표!B$2:B$91&lt;&gt;"기본 항목"))/ROW(고객사점검표!$E$2:$E$91),),ROW($B16))-1),"")</f>
        <v/>
      </c>
      <c r="D110" s="28" t="str">
        <f t="array" ref="D110">IFERROR(INDEX(고객사점검표!C$2:C$91,1/LARGE(INDEX(((고객사점검표!$F$2:$F$91="점검 완료")*(고객사점검표!B$2:B$91&lt;&gt;"기본 항목"))/ROW(고객사점검표!$E$2:$E$91),),ROW($B16))-1),"")</f>
        <v/>
      </c>
      <c r="E110" s="28" t="str">
        <f t="array" ref="E110">IFERROR(INDEX(고객사점검표!D$2:D$91,1/LARGE(INDEX(((고객사점검표!$F$2:$F$91="점검 완료")*(고객사점검표!B$2:B$91&lt;&gt;"기본 항목"))/ROW(고객사점검표!$E$2:$E$91),),ROW($B16))-1),"")</f>
        <v/>
      </c>
      <c r="F110" s="28" t="str">
        <f t="array" ref="F110">IFERROR(INDEX(고객사점검표!E$2:E$91,1/LARGE(INDEX(((고객사점검표!$F$2:$F$91="점검 완료")*(고객사점검표!B$2:B$91&lt;&gt;"기본 항목"))/ROW(고객사점검표!$E$2:$E$91),),ROW($B16))-1),"")</f>
        <v/>
      </c>
      <c r="G110" s="85" t="str">
        <f t="array" ref="G110">IFERROR(INDEX(고객사점검표!F$2:F$91,1/LARGE(INDEX(((고객사점검표!$F$2:$F$91="점검 완료")*(고객사점검표!B$2:B$91&lt;&gt;"기본 항목"))/ROW(고객사점검표!$E$2:$E$91),),ROW($B16))-1),"")</f>
        <v/>
      </c>
      <c r="H110" s="100" t="str">
        <f t="array" ref="H110">IFERROR(INDEX(고객사점검표!G$2:G$91,1/LARGE(INDEX(((고객사점검표!$F$2:$F$91="점검 완료")*(고객사점검표!B$2:B$91&lt;&gt;"기본 항목"))/ROW(고객사점검표!$E$2:$E$91),),ROW($B16))-1),"")</f>
        <v/>
      </c>
      <c r="I110" s="73"/>
      <c r="J110" s="73"/>
    </row>
    <row r="111" spans="1:10" ht="16.5">
      <c r="A111" s="73"/>
      <c r="B111" s="99" t="str">
        <f t="array" ref="B111">IFERROR(INDEX(고객사점검표!A$2:A$91,1/LARGE(INDEX(((고객사점검표!$F$2:$F$91="점검 완료")*(고객사점검표!B$2:B$91&lt;&gt;"기본 항목"))/ROW(고객사점검표!$E$2:$E$91),),ROW($B17))-1),"")</f>
        <v/>
      </c>
      <c r="C111" s="28" t="str">
        <f t="array" ref="C111">IFERROR(INDEX(고객사점검표!B$2:B$91,1/LARGE(INDEX(((고객사점검표!$F$2:$F$91="점검 완료")*(고객사점검표!B$2:B$91&lt;&gt;"기본 항목"))/ROW(고객사점검표!$E$2:$E$91),),ROW($B17))-1),"")</f>
        <v/>
      </c>
      <c r="D111" s="28" t="str">
        <f t="array" ref="D111">IFERROR(INDEX(고객사점검표!C$2:C$91,1/LARGE(INDEX(((고객사점검표!$F$2:$F$91="점검 완료")*(고객사점검표!B$2:B$91&lt;&gt;"기본 항목"))/ROW(고객사점검표!$E$2:$E$91),),ROW($B17))-1),"")</f>
        <v/>
      </c>
      <c r="E111" s="28" t="str">
        <f t="array" ref="E111">IFERROR(INDEX(고객사점검표!D$2:D$91,1/LARGE(INDEX(((고객사점검표!$F$2:$F$91="점검 완료")*(고객사점검표!B$2:B$91&lt;&gt;"기본 항목"))/ROW(고객사점검표!$E$2:$E$91),),ROW($B17))-1),"")</f>
        <v/>
      </c>
      <c r="F111" s="28" t="str">
        <f t="array" ref="F111">IFERROR(INDEX(고객사점검표!E$2:E$91,1/LARGE(INDEX(((고객사점검표!$F$2:$F$91="점검 완료")*(고객사점검표!B$2:B$91&lt;&gt;"기본 항목"))/ROW(고객사점검표!$E$2:$E$91),),ROW($B17))-1),"")</f>
        <v/>
      </c>
      <c r="G111" s="85" t="str">
        <f t="array" ref="G111">IFERROR(INDEX(고객사점검표!F$2:F$91,1/LARGE(INDEX(((고객사점검표!$F$2:$F$91="점검 완료")*(고객사점검표!B$2:B$91&lt;&gt;"기본 항목"))/ROW(고객사점검표!$E$2:$E$91),),ROW($B17))-1),"")</f>
        <v/>
      </c>
      <c r="H111" s="100" t="str">
        <f t="array" ref="H111">IFERROR(INDEX(고객사점검표!G$2:G$91,1/LARGE(INDEX(((고객사점검표!$F$2:$F$91="점검 완료")*(고객사점검표!B$2:B$91&lt;&gt;"기본 항목"))/ROW(고객사점검표!$E$2:$E$91),),ROW($B17))-1),"")</f>
        <v/>
      </c>
      <c r="I111" s="73"/>
      <c r="J111" s="73"/>
    </row>
    <row r="112" spans="1:10" ht="16.5">
      <c r="A112" s="73"/>
      <c r="B112" s="99" t="str">
        <f t="array" ref="B112">IFERROR(INDEX(고객사점검표!A$2:A$91,1/LARGE(INDEX(((고객사점검표!$F$2:$F$91="점검 완료")*(고객사점검표!B$2:B$91&lt;&gt;"기본 항목"))/ROW(고객사점검표!$E$2:$E$91),),ROW($B18))-1),"")</f>
        <v/>
      </c>
      <c r="C112" s="28" t="str">
        <f t="array" ref="C112">IFERROR(INDEX(고객사점검표!B$2:B$91,1/LARGE(INDEX(((고객사점검표!$F$2:$F$91="점검 완료")*(고객사점검표!B$2:B$91&lt;&gt;"기본 항목"))/ROW(고객사점검표!$E$2:$E$91),),ROW($B18))-1),"")</f>
        <v/>
      </c>
      <c r="D112" s="28" t="str">
        <f t="array" ref="D112">IFERROR(INDEX(고객사점검표!C$2:C$91,1/LARGE(INDEX(((고객사점검표!$F$2:$F$91="점검 완료")*(고객사점검표!B$2:B$91&lt;&gt;"기본 항목"))/ROW(고객사점검표!$E$2:$E$91),),ROW($B18))-1),"")</f>
        <v/>
      </c>
      <c r="E112" s="28" t="str">
        <f t="array" ref="E112">IFERROR(INDEX(고객사점검표!D$2:D$91,1/LARGE(INDEX(((고객사점검표!$F$2:$F$91="점검 완료")*(고객사점검표!B$2:B$91&lt;&gt;"기본 항목"))/ROW(고객사점검표!$E$2:$E$91),),ROW($B18))-1),"")</f>
        <v/>
      </c>
      <c r="F112" s="28" t="str">
        <f t="array" ref="F112">IFERROR(INDEX(고객사점검표!E$2:E$91,1/LARGE(INDEX(((고객사점검표!$F$2:$F$91="점검 완료")*(고객사점검표!B$2:B$91&lt;&gt;"기본 항목"))/ROW(고객사점검표!$E$2:$E$91),),ROW($B18))-1),"")</f>
        <v/>
      </c>
      <c r="G112" s="85" t="str">
        <f t="array" ref="G112">IFERROR(INDEX(고객사점검표!F$2:F$91,1/LARGE(INDEX(((고객사점검표!$F$2:$F$91="점검 완료")*(고객사점검표!B$2:B$91&lt;&gt;"기본 항목"))/ROW(고객사점검표!$E$2:$E$91),),ROW($B18))-1),"")</f>
        <v/>
      </c>
      <c r="H112" s="100" t="str">
        <f t="array" ref="H112">IFERROR(INDEX(고객사점검표!G$2:G$91,1/LARGE(INDEX(((고객사점검표!$F$2:$F$91="점검 완료")*(고객사점검표!B$2:B$91&lt;&gt;"기본 항목"))/ROW(고객사점검표!$E$2:$E$91),),ROW($B18))-1),"")</f>
        <v/>
      </c>
      <c r="I112" s="73"/>
      <c r="J112" s="73"/>
    </row>
    <row r="113" spans="1:10" ht="16.5">
      <c r="A113" s="73"/>
      <c r="B113" s="99" t="str">
        <f t="array" ref="B113">IFERROR(INDEX(고객사점검표!A$2:A$91,1/LARGE(INDEX(((고객사점검표!$F$2:$F$91="점검 완료")*(고객사점검표!B$2:B$91&lt;&gt;"기본 항목"))/ROW(고객사점검표!$E$2:$E$91),),ROW($B19))-1),"")</f>
        <v/>
      </c>
      <c r="C113" s="28" t="str">
        <f t="array" ref="C113">IFERROR(INDEX(고객사점검표!B$2:B$91,1/LARGE(INDEX(((고객사점검표!$F$2:$F$91="점검 완료")*(고객사점검표!B$2:B$91&lt;&gt;"기본 항목"))/ROW(고객사점검표!$E$2:$E$91),),ROW($B19))-1),"")</f>
        <v/>
      </c>
      <c r="D113" s="28" t="str">
        <f t="array" ref="D113">IFERROR(INDEX(고객사점검표!C$2:C$91,1/LARGE(INDEX(((고객사점검표!$F$2:$F$91="점검 완료")*(고객사점검표!B$2:B$91&lt;&gt;"기본 항목"))/ROW(고객사점검표!$E$2:$E$91),),ROW($B19))-1),"")</f>
        <v/>
      </c>
      <c r="E113" s="28" t="str">
        <f t="array" ref="E113">IFERROR(INDEX(고객사점검표!D$2:D$91,1/LARGE(INDEX(((고객사점검표!$F$2:$F$91="점검 완료")*(고객사점검표!B$2:B$91&lt;&gt;"기본 항목"))/ROW(고객사점검표!$E$2:$E$91),),ROW($B19))-1),"")</f>
        <v/>
      </c>
      <c r="F113" s="28" t="str">
        <f t="array" ref="F113">IFERROR(INDEX(고객사점검표!E$2:E$91,1/LARGE(INDEX(((고객사점검표!$F$2:$F$91="점검 완료")*(고객사점검표!B$2:B$91&lt;&gt;"기본 항목"))/ROW(고객사점검표!$E$2:$E$91),),ROW($B19))-1),"")</f>
        <v/>
      </c>
      <c r="G113" s="85" t="str">
        <f t="array" ref="G113">IFERROR(INDEX(고객사점검표!F$2:F$91,1/LARGE(INDEX(((고객사점검표!$F$2:$F$91="점검 완료")*(고객사점검표!B$2:B$91&lt;&gt;"기본 항목"))/ROW(고객사점검표!$E$2:$E$91),),ROW($B19))-1),"")</f>
        <v/>
      </c>
      <c r="H113" s="100" t="str">
        <f t="array" ref="H113">IFERROR(INDEX(고객사점검표!G$2:G$91,1/LARGE(INDEX(((고객사점검표!$F$2:$F$91="점검 완료")*(고객사점검표!B$2:B$91&lt;&gt;"기본 항목"))/ROW(고객사점검표!$E$2:$E$91),),ROW($B19))-1),"")</f>
        <v/>
      </c>
      <c r="I113" s="73"/>
      <c r="J113" s="73"/>
    </row>
    <row r="114" spans="1:10" ht="16.5">
      <c r="A114" s="73"/>
      <c r="B114" s="99" t="str">
        <f t="array" ref="B114">IFERROR(INDEX(고객사점검표!A$2:A$91,1/LARGE(INDEX(((고객사점검표!$F$2:$F$91="점검 완료")*(고객사점검표!B$2:B$91&lt;&gt;"기본 항목"))/ROW(고객사점검표!$E$2:$E$91),),ROW($B20))-1),"")</f>
        <v/>
      </c>
      <c r="C114" s="28" t="str">
        <f t="array" ref="C114">IFERROR(INDEX(고객사점검표!B$2:B$91,1/LARGE(INDEX(((고객사점검표!$F$2:$F$91="점검 완료")*(고객사점검표!B$2:B$91&lt;&gt;"기본 항목"))/ROW(고객사점검표!$E$2:$E$91),),ROW($B20))-1),"")</f>
        <v/>
      </c>
      <c r="D114" s="28" t="str">
        <f t="array" ref="D114">IFERROR(INDEX(고객사점검표!C$2:C$91,1/LARGE(INDEX(((고객사점검표!$F$2:$F$91="점검 완료")*(고객사점검표!B$2:B$91&lt;&gt;"기본 항목"))/ROW(고객사점검표!$E$2:$E$91),),ROW($B20))-1),"")</f>
        <v/>
      </c>
      <c r="E114" s="28" t="str">
        <f t="array" ref="E114">IFERROR(INDEX(고객사점검표!D$2:D$91,1/LARGE(INDEX(((고객사점검표!$F$2:$F$91="점검 완료")*(고객사점검표!B$2:B$91&lt;&gt;"기본 항목"))/ROW(고객사점검표!$E$2:$E$91),),ROW($B20))-1),"")</f>
        <v/>
      </c>
      <c r="F114" s="28" t="str">
        <f t="array" ref="F114">IFERROR(INDEX(고객사점검표!E$2:E$91,1/LARGE(INDEX(((고객사점검표!$F$2:$F$91="점검 완료")*(고객사점검표!B$2:B$91&lt;&gt;"기본 항목"))/ROW(고객사점검표!$E$2:$E$91),),ROW($B20))-1),"")</f>
        <v/>
      </c>
      <c r="G114" s="85" t="str">
        <f t="array" ref="G114">IFERROR(INDEX(고객사점검표!F$2:F$91,1/LARGE(INDEX(((고객사점검표!$F$2:$F$91="점검 완료")*(고객사점검표!B$2:B$91&lt;&gt;"기본 항목"))/ROW(고객사점검표!$E$2:$E$91),),ROW($B20))-1),"")</f>
        <v/>
      </c>
      <c r="H114" s="100" t="str">
        <f t="array" ref="H114">IFERROR(INDEX(고객사점검표!G$2:G$91,1/LARGE(INDEX(((고객사점검표!$F$2:$F$91="점검 완료")*(고객사점검표!B$2:B$91&lt;&gt;"기본 항목"))/ROW(고객사점검표!$E$2:$E$91),),ROW($B20))-1),"")</f>
        <v/>
      </c>
      <c r="I114" s="73"/>
      <c r="J114" s="73"/>
    </row>
    <row r="115" spans="1:10" ht="16.5">
      <c r="A115" s="73"/>
      <c r="B115" s="99" t="str">
        <f t="array" ref="B115">IFERROR(INDEX(고객사점검표!A$2:A$91,1/LARGE(INDEX(((고객사점검표!$F$2:$F$91="점검 완료")*(고객사점검표!B$2:B$91&lt;&gt;"기본 항목"))/ROW(고객사점검표!$E$2:$E$91),),ROW($B21))-1),"")</f>
        <v/>
      </c>
      <c r="C115" s="28" t="str">
        <f t="array" ref="C115">IFERROR(INDEX(고객사점검표!B$2:B$91,1/LARGE(INDEX(((고객사점검표!$F$2:$F$91="점검 완료")*(고객사점검표!B$2:B$91&lt;&gt;"기본 항목"))/ROW(고객사점검표!$E$2:$E$91),),ROW($B21))-1),"")</f>
        <v/>
      </c>
      <c r="D115" s="28" t="str">
        <f t="array" ref="D115">IFERROR(INDEX(고객사점검표!C$2:C$91,1/LARGE(INDEX(((고객사점검표!$F$2:$F$91="점검 완료")*(고객사점검표!B$2:B$91&lt;&gt;"기본 항목"))/ROW(고객사점검표!$E$2:$E$91),),ROW($B21))-1),"")</f>
        <v/>
      </c>
      <c r="E115" s="28" t="str">
        <f t="array" ref="E115">IFERROR(INDEX(고객사점검표!D$2:D$91,1/LARGE(INDEX(((고객사점검표!$F$2:$F$91="점검 완료")*(고객사점검표!B$2:B$91&lt;&gt;"기본 항목"))/ROW(고객사점검표!$E$2:$E$91),),ROW($B21))-1),"")</f>
        <v/>
      </c>
      <c r="F115" s="28" t="str">
        <f t="array" ref="F115">IFERROR(INDEX(고객사점검표!E$2:E$91,1/LARGE(INDEX(((고객사점검표!$F$2:$F$91="점검 완료")*(고객사점검표!B$2:B$91&lt;&gt;"기본 항목"))/ROW(고객사점검표!$E$2:$E$91),),ROW($B21))-1),"")</f>
        <v/>
      </c>
      <c r="G115" s="85" t="str">
        <f t="array" ref="G115">IFERROR(INDEX(고객사점검표!F$2:F$91,1/LARGE(INDEX(((고객사점검표!$F$2:$F$91="점검 완료")*(고객사점검표!B$2:B$91&lt;&gt;"기본 항목"))/ROW(고객사점검표!$E$2:$E$91),),ROW($B21))-1),"")</f>
        <v/>
      </c>
      <c r="H115" s="100" t="str">
        <f t="array" ref="H115">IFERROR(INDEX(고객사점검표!G$2:G$91,1/LARGE(INDEX(((고객사점검표!$F$2:$F$91="점검 완료")*(고객사점검표!B$2:B$91&lt;&gt;"기본 항목"))/ROW(고객사점검표!$E$2:$E$91),),ROW($B21))-1),"")</f>
        <v/>
      </c>
      <c r="I115" s="73"/>
      <c r="J115" s="73"/>
    </row>
    <row r="116" spans="1:10" ht="16.5">
      <c r="A116" s="73"/>
      <c r="B116" s="99" t="str">
        <f t="array" ref="B116">IFERROR(INDEX(고객사점검표!A$2:A$91,1/LARGE(INDEX(((고객사점검표!$F$2:$F$91="점검 완료")*(고객사점검표!B$2:B$91&lt;&gt;"기본 항목"))/ROW(고객사점검표!$E$2:$E$91),),ROW($B22))-1),"")</f>
        <v/>
      </c>
      <c r="C116" s="28" t="str">
        <f t="array" ref="C116">IFERROR(INDEX(고객사점검표!B$2:B$91,1/LARGE(INDEX(((고객사점검표!$F$2:$F$91="점검 완료")*(고객사점검표!B$2:B$91&lt;&gt;"기본 항목"))/ROW(고객사점검표!$E$2:$E$91),),ROW($B22))-1),"")</f>
        <v/>
      </c>
      <c r="D116" s="28" t="str">
        <f t="array" ref="D116">IFERROR(INDEX(고객사점검표!C$2:C$91,1/LARGE(INDEX(((고객사점검표!$F$2:$F$91="점검 완료")*(고객사점검표!B$2:B$91&lt;&gt;"기본 항목"))/ROW(고객사점검표!$E$2:$E$91),),ROW($B22))-1),"")</f>
        <v/>
      </c>
      <c r="E116" s="28" t="str">
        <f t="array" ref="E116">IFERROR(INDEX(고객사점검표!D$2:D$91,1/LARGE(INDEX(((고객사점검표!$F$2:$F$91="점검 완료")*(고객사점검표!B$2:B$91&lt;&gt;"기본 항목"))/ROW(고객사점검표!$E$2:$E$91),),ROW($B22))-1),"")</f>
        <v/>
      </c>
      <c r="F116" s="28" t="str">
        <f t="array" ref="F116">IFERROR(INDEX(고객사점검표!E$2:E$91,1/LARGE(INDEX(((고객사점검표!$F$2:$F$91="점검 완료")*(고객사점검표!B$2:B$91&lt;&gt;"기본 항목"))/ROW(고객사점검표!$E$2:$E$91),),ROW($B22))-1),"")</f>
        <v/>
      </c>
      <c r="G116" s="85" t="str">
        <f t="array" ref="G116">IFERROR(INDEX(고객사점검표!F$2:F$91,1/LARGE(INDEX(((고객사점검표!$F$2:$F$91="점검 완료")*(고객사점검표!B$2:B$91&lt;&gt;"기본 항목"))/ROW(고객사점검표!$E$2:$E$91),),ROW($B22))-1),"")</f>
        <v/>
      </c>
      <c r="H116" s="100" t="str">
        <f t="array" ref="H116">IFERROR(INDEX(고객사점검표!G$2:G$91,1/LARGE(INDEX(((고객사점검표!$F$2:$F$91="점검 완료")*(고객사점검표!B$2:B$91&lt;&gt;"기본 항목"))/ROW(고객사점검표!$E$2:$E$91),),ROW($B22))-1),"")</f>
        <v/>
      </c>
      <c r="I116" s="73"/>
      <c r="J116" s="73"/>
    </row>
    <row r="117" spans="1:10" ht="16.5">
      <c r="A117" s="73"/>
      <c r="B117" s="99" t="str">
        <f t="array" ref="B117">IFERROR(INDEX(고객사점검표!A$2:A$91,1/LARGE(INDEX(((고객사점검표!$F$2:$F$91="점검 완료")*(고객사점검표!B$2:B$91&lt;&gt;"기본 항목"))/ROW(고객사점검표!$E$2:$E$91),),ROW($B23))-1),"")</f>
        <v/>
      </c>
      <c r="C117" s="28" t="str">
        <f t="array" ref="C117">IFERROR(INDEX(고객사점검표!B$2:B$91,1/LARGE(INDEX(((고객사점검표!$F$2:$F$91="점검 완료")*(고객사점검표!B$2:B$91&lt;&gt;"기본 항목"))/ROW(고객사점검표!$E$2:$E$91),),ROW($B23))-1),"")</f>
        <v/>
      </c>
      <c r="D117" s="28" t="str">
        <f t="array" ref="D117">IFERROR(INDEX(고객사점검표!C$2:C$91,1/LARGE(INDEX(((고객사점검표!$F$2:$F$91="점검 완료")*(고객사점검표!B$2:B$91&lt;&gt;"기본 항목"))/ROW(고객사점검표!$E$2:$E$91),),ROW($B23))-1),"")</f>
        <v/>
      </c>
      <c r="E117" s="28" t="str">
        <f t="array" ref="E117">IFERROR(INDEX(고객사점검표!D$2:D$91,1/LARGE(INDEX(((고객사점검표!$F$2:$F$91="점검 완료")*(고객사점검표!B$2:B$91&lt;&gt;"기본 항목"))/ROW(고객사점검표!$E$2:$E$91),),ROW($B23))-1),"")</f>
        <v/>
      </c>
      <c r="F117" s="28" t="str">
        <f t="array" ref="F117">IFERROR(INDEX(고객사점검표!E$2:E$91,1/LARGE(INDEX(((고객사점검표!$F$2:$F$91="점검 완료")*(고객사점검표!B$2:B$91&lt;&gt;"기본 항목"))/ROW(고객사점검표!$E$2:$E$91),),ROW($B23))-1),"")</f>
        <v/>
      </c>
      <c r="G117" s="85" t="str">
        <f t="array" ref="G117">IFERROR(INDEX(고객사점검표!F$2:F$91,1/LARGE(INDEX(((고객사점검표!$F$2:$F$91="점검 완료")*(고객사점검표!B$2:B$91&lt;&gt;"기본 항목"))/ROW(고객사점검표!$E$2:$E$91),),ROW($B23))-1),"")</f>
        <v/>
      </c>
      <c r="H117" s="100" t="str">
        <f t="array" ref="H117">IFERROR(INDEX(고객사점검표!G$2:G$91,1/LARGE(INDEX(((고객사점검표!$F$2:$F$91="점검 완료")*(고객사점검표!B$2:B$91&lt;&gt;"기본 항목"))/ROW(고객사점검표!$E$2:$E$91),),ROW($B23))-1),"")</f>
        <v/>
      </c>
      <c r="I117" s="73"/>
      <c r="J117" s="73"/>
    </row>
    <row r="118" spans="1:10" ht="16.5">
      <c r="A118" s="73"/>
      <c r="B118" s="99" t="str">
        <f t="array" ref="B118">IFERROR(INDEX(고객사점검표!A$2:A$91,1/LARGE(INDEX(((고객사점검표!$F$2:$F$91="점검 완료")*(고객사점검표!B$2:B$91&lt;&gt;"기본 항목"))/ROW(고객사점검표!$E$2:$E$91),),ROW($B24))-1),"")</f>
        <v/>
      </c>
      <c r="C118" s="28" t="str">
        <f t="array" ref="C118">IFERROR(INDEX(고객사점검표!B$2:B$91,1/LARGE(INDEX(((고객사점검표!$F$2:$F$91="점검 완료")*(고객사점검표!B$2:B$91&lt;&gt;"기본 항목"))/ROW(고객사점검표!$E$2:$E$91),),ROW($B24))-1),"")</f>
        <v/>
      </c>
      <c r="D118" s="28" t="str">
        <f t="array" ref="D118">IFERROR(INDEX(고객사점검표!C$2:C$91,1/LARGE(INDEX(((고객사점검표!$F$2:$F$91="점검 완료")*(고객사점검표!B$2:B$91&lt;&gt;"기본 항목"))/ROW(고객사점검표!$E$2:$E$91),),ROW($B24))-1),"")</f>
        <v/>
      </c>
      <c r="E118" s="28" t="str">
        <f t="array" ref="E118">IFERROR(INDEX(고객사점검표!D$2:D$91,1/LARGE(INDEX(((고객사점검표!$F$2:$F$91="점검 완료")*(고객사점검표!B$2:B$91&lt;&gt;"기본 항목"))/ROW(고객사점검표!$E$2:$E$91),),ROW($B24))-1),"")</f>
        <v/>
      </c>
      <c r="F118" s="28" t="str">
        <f t="array" ref="F118">IFERROR(INDEX(고객사점검표!E$2:E$91,1/LARGE(INDEX(((고객사점검표!$F$2:$F$91="점검 완료")*(고객사점검표!B$2:B$91&lt;&gt;"기본 항목"))/ROW(고객사점검표!$E$2:$E$91),),ROW($B24))-1),"")</f>
        <v/>
      </c>
      <c r="G118" s="85" t="str">
        <f t="array" ref="G118">IFERROR(INDEX(고객사점검표!F$2:F$91,1/LARGE(INDEX(((고객사점검표!$F$2:$F$91="점검 완료")*(고객사점검표!B$2:B$91&lt;&gt;"기본 항목"))/ROW(고객사점검표!$E$2:$E$91),),ROW($B24))-1),"")</f>
        <v/>
      </c>
      <c r="H118" s="100" t="str">
        <f t="array" ref="H118">IFERROR(INDEX(고객사점검표!G$2:G$91,1/LARGE(INDEX(((고객사점검표!$F$2:$F$91="점검 완료")*(고객사점검표!B$2:B$91&lt;&gt;"기본 항목"))/ROW(고객사점검표!$E$2:$E$91),),ROW($B24))-1),"")</f>
        <v/>
      </c>
      <c r="I118" s="73"/>
      <c r="J118" s="73"/>
    </row>
    <row r="119" spans="1:10" ht="16.5">
      <c r="A119" s="73"/>
      <c r="B119" s="99" t="str">
        <f t="array" ref="B119">IFERROR(INDEX(고객사점검표!A$2:A$91,1/LARGE(INDEX(((고객사점검표!$F$2:$F$91="점검 완료")*(고객사점검표!B$2:B$91&lt;&gt;"기본 항목"))/ROW(고객사점검표!$E$2:$E$91),),ROW($B25))-1),"")</f>
        <v/>
      </c>
      <c r="C119" s="28" t="str">
        <f t="array" ref="C119">IFERROR(INDEX(고객사점검표!B$2:B$91,1/LARGE(INDEX(((고객사점검표!$F$2:$F$91="점검 완료")*(고객사점검표!B$2:B$91&lt;&gt;"기본 항목"))/ROW(고객사점검표!$E$2:$E$91),),ROW($B25))-1),"")</f>
        <v/>
      </c>
      <c r="D119" s="28" t="str">
        <f t="array" ref="D119">IFERROR(INDEX(고객사점검표!C$2:C$91,1/LARGE(INDEX(((고객사점검표!$F$2:$F$91="점검 완료")*(고객사점검표!B$2:B$91&lt;&gt;"기본 항목"))/ROW(고객사점검표!$E$2:$E$91),),ROW($B25))-1),"")</f>
        <v/>
      </c>
      <c r="E119" s="28" t="str">
        <f t="array" ref="E119">IFERROR(INDEX(고객사점검표!D$2:D$91,1/LARGE(INDEX(((고객사점검표!$F$2:$F$91="점검 완료")*(고객사점검표!B$2:B$91&lt;&gt;"기본 항목"))/ROW(고객사점검표!$E$2:$E$91),),ROW($B25))-1),"")</f>
        <v/>
      </c>
      <c r="F119" s="28" t="str">
        <f t="array" ref="F119">IFERROR(INDEX(고객사점검표!E$2:E$91,1/LARGE(INDEX(((고객사점검표!$F$2:$F$91="점검 완료")*(고객사점검표!B$2:B$91&lt;&gt;"기본 항목"))/ROW(고객사점검표!$E$2:$E$91),),ROW($B25))-1),"")</f>
        <v/>
      </c>
      <c r="G119" s="85" t="str">
        <f t="array" ref="G119">IFERROR(INDEX(고객사점검표!F$2:F$91,1/LARGE(INDEX(((고객사점검표!$F$2:$F$91="점검 완료")*(고객사점검표!B$2:B$91&lt;&gt;"기본 항목"))/ROW(고객사점검표!$E$2:$E$91),),ROW($B25))-1),"")</f>
        <v/>
      </c>
      <c r="H119" s="100" t="str">
        <f t="array" ref="H119">IFERROR(INDEX(고객사점검표!G$2:G$91,1/LARGE(INDEX(((고객사점검표!$F$2:$F$91="점검 완료")*(고객사점검표!B$2:B$91&lt;&gt;"기본 항목"))/ROW(고객사점검표!$E$2:$E$91),),ROW($B25))-1),"")</f>
        <v/>
      </c>
      <c r="I119" s="73"/>
      <c r="J119" s="73"/>
    </row>
    <row r="120" spans="1:10" ht="16.5">
      <c r="A120" s="73"/>
      <c r="B120" s="99" t="str">
        <f t="array" ref="B120">IFERROR(INDEX(고객사점검표!A$2:A$91,1/LARGE(INDEX(((고객사점검표!$F$2:$F$91="점검 완료")*(고객사점검표!B$2:B$91&lt;&gt;"기본 항목"))/ROW(고객사점검표!$E$2:$E$91),),ROW($B26))-1),"")</f>
        <v/>
      </c>
      <c r="C120" s="28" t="str">
        <f t="array" ref="C120">IFERROR(INDEX(고객사점검표!B$2:B$91,1/LARGE(INDEX(((고객사점검표!$F$2:$F$91="점검 완료")*(고객사점검표!B$2:B$91&lt;&gt;"기본 항목"))/ROW(고객사점검표!$E$2:$E$91),),ROW($B26))-1),"")</f>
        <v/>
      </c>
      <c r="D120" s="28" t="str">
        <f t="array" ref="D120">IFERROR(INDEX(고객사점검표!C$2:C$91,1/LARGE(INDEX(((고객사점검표!$F$2:$F$91="점검 완료")*(고객사점검표!B$2:B$91&lt;&gt;"기본 항목"))/ROW(고객사점검표!$E$2:$E$91),),ROW($B26))-1),"")</f>
        <v/>
      </c>
      <c r="E120" s="28" t="str">
        <f t="array" ref="E120">IFERROR(INDEX(고객사점검표!D$2:D$91,1/LARGE(INDEX(((고객사점검표!$F$2:$F$91="점검 완료")*(고객사점검표!B$2:B$91&lt;&gt;"기본 항목"))/ROW(고객사점검표!$E$2:$E$91),),ROW($B26))-1),"")</f>
        <v/>
      </c>
      <c r="F120" s="28" t="str">
        <f t="array" ref="F120">IFERROR(INDEX(고객사점검표!E$2:E$91,1/LARGE(INDEX(((고객사점검표!$F$2:$F$91="점검 완료")*(고객사점검표!B$2:B$91&lt;&gt;"기본 항목"))/ROW(고객사점검표!$E$2:$E$91),),ROW($B26))-1),"")</f>
        <v/>
      </c>
      <c r="G120" s="85" t="str">
        <f t="array" ref="G120">IFERROR(INDEX(고객사점검표!F$2:F$91,1/LARGE(INDEX(((고객사점검표!$F$2:$F$91="점검 완료")*(고객사점검표!B$2:B$91&lt;&gt;"기본 항목"))/ROW(고객사점검표!$E$2:$E$91),),ROW($B26))-1),"")</f>
        <v/>
      </c>
      <c r="H120" s="100" t="str">
        <f t="array" ref="H120">IFERROR(INDEX(고객사점검표!G$2:G$91,1/LARGE(INDEX(((고객사점검표!$F$2:$F$91="점검 완료")*(고객사점검표!B$2:B$91&lt;&gt;"기본 항목"))/ROW(고객사점검표!$E$2:$E$91),),ROW($B26))-1),"")</f>
        <v/>
      </c>
      <c r="I120" s="73"/>
      <c r="J120" s="73"/>
    </row>
    <row r="121" spans="1:10" ht="16.5">
      <c r="A121" s="73"/>
      <c r="B121" s="99" t="str">
        <f t="array" ref="B121">IFERROR(INDEX(고객사점검표!A$2:A$91,1/LARGE(INDEX(((고객사점검표!$F$2:$F$91="점검 완료")*(고객사점검표!B$2:B$91&lt;&gt;"기본 항목"))/ROW(고객사점검표!$E$2:$E$91),),ROW($B27))-1),"")</f>
        <v/>
      </c>
      <c r="C121" s="28" t="str">
        <f t="array" ref="C121">IFERROR(INDEX(고객사점검표!B$2:B$91,1/LARGE(INDEX(((고객사점검표!$F$2:$F$91="점검 완료")*(고객사점검표!B$2:B$91&lt;&gt;"기본 항목"))/ROW(고객사점검표!$E$2:$E$91),),ROW($B27))-1),"")</f>
        <v/>
      </c>
      <c r="D121" s="28" t="str">
        <f t="array" ref="D121">IFERROR(INDEX(고객사점검표!C$2:C$91,1/LARGE(INDEX(((고객사점검표!$F$2:$F$91="점검 완료")*(고객사점검표!B$2:B$91&lt;&gt;"기본 항목"))/ROW(고객사점검표!$E$2:$E$91),),ROW($B27))-1),"")</f>
        <v/>
      </c>
      <c r="E121" s="28" t="str">
        <f t="array" ref="E121">IFERROR(INDEX(고객사점검표!D$2:D$91,1/LARGE(INDEX(((고객사점검표!$F$2:$F$91="점검 완료")*(고객사점검표!B$2:B$91&lt;&gt;"기본 항목"))/ROW(고객사점검표!$E$2:$E$91),),ROW($B27))-1),"")</f>
        <v/>
      </c>
      <c r="F121" s="28" t="str">
        <f t="array" ref="F121">IFERROR(INDEX(고객사점검표!E$2:E$91,1/LARGE(INDEX(((고객사점검표!$F$2:$F$91="점검 완료")*(고객사점검표!B$2:B$91&lt;&gt;"기본 항목"))/ROW(고객사점검표!$E$2:$E$91),),ROW($B27))-1),"")</f>
        <v/>
      </c>
      <c r="G121" s="85" t="str">
        <f t="array" ref="G121">IFERROR(INDEX(고객사점검표!F$2:F$91,1/LARGE(INDEX(((고객사점검표!$F$2:$F$91="점검 완료")*(고객사점검표!B$2:B$91&lt;&gt;"기본 항목"))/ROW(고객사점검표!$E$2:$E$91),),ROW($B27))-1),"")</f>
        <v/>
      </c>
      <c r="H121" s="100" t="str">
        <f t="array" ref="H121">IFERROR(INDEX(고객사점검표!G$2:G$91,1/LARGE(INDEX(((고객사점검표!$F$2:$F$91="점검 완료")*(고객사점검표!B$2:B$91&lt;&gt;"기본 항목"))/ROW(고객사점검표!$E$2:$E$91),),ROW($B27))-1),"")</f>
        <v/>
      </c>
      <c r="I121" s="73"/>
      <c r="J121" s="73"/>
    </row>
    <row r="122" spans="1:10" ht="16.5">
      <c r="A122" s="73"/>
      <c r="B122" s="99" t="str">
        <f t="array" ref="B122">IFERROR(INDEX(고객사점검표!A$2:A$91,1/LARGE(INDEX(((고객사점검표!$F$2:$F$91="점검 완료")*(고객사점검표!B$2:B$91&lt;&gt;"기본 항목"))/ROW(고객사점검표!$E$2:$E$91),),ROW($B28))-1),"")</f>
        <v/>
      </c>
      <c r="C122" s="28" t="str">
        <f t="array" ref="C122">IFERROR(INDEX(고객사점검표!B$2:B$91,1/LARGE(INDEX(((고객사점검표!$F$2:$F$91="점검 완료")*(고객사점검표!B$2:B$91&lt;&gt;"기본 항목"))/ROW(고객사점검표!$E$2:$E$91),),ROW($B28))-1),"")</f>
        <v/>
      </c>
      <c r="D122" s="28" t="str">
        <f t="array" ref="D122">IFERROR(INDEX(고객사점검표!C$2:C$91,1/LARGE(INDEX(((고객사점검표!$F$2:$F$91="점검 완료")*(고객사점검표!B$2:B$91&lt;&gt;"기본 항목"))/ROW(고객사점검표!$E$2:$E$91),),ROW($B28))-1),"")</f>
        <v/>
      </c>
      <c r="E122" s="28" t="str">
        <f t="array" ref="E122">IFERROR(INDEX(고객사점검표!D$2:D$91,1/LARGE(INDEX(((고객사점검표!$F$2:$F$91="점검 완료")*(고객사점검표!B$2:B$91&lt;&gt;"기본 항목"))/ROW(고객사점검표!$E$2:$E$91),),ROW($B28))-1),"")</f>
        <v/>
      </c>
      <c r="F122" s="28" t="str">
        <f t="array" ref="F122">IFERROR(INDEX(고객사점검표!E$2:E$91,1/LARGE(INDEX(((고객사점검표!$F$2:$F$91="점검 완료")*(고객사점검표!B$2:B$91&lt;&gt;"기본 항목"))/ROW(고객사점검표!$E$2:$E$91),),ROW($B28))-1),"")</f>
        <v/>
      </c>
      <c r="G122" s="85" t="str">
        <f t="array" ref="G122">IFERROR(INDEX(고객사점검표!F$2:F$91,1/LARGE(INDEX(((고객사점검표!$F$2:$F$91="점검 완료")*(고객사점검표!B$2:B$91&lt;&gt;"기본 항목"))/ROW(고객사점검표!$E$2:$E$91),),ROW($B28))-1),"")</f>
        <v/>
      </c>
      <c r="H122" s="100" t="str">
        <f t="array" ref="H122">IFERROR(INDEX(고객사점검표!G$2:G$91,1/LARGE(INDEX(((고객사점검표!$F$2:$F$91="점검 완료")*(고객사점검표!B$2:B$91&lt;&gt;"기본 항목"))/ROW(고객사점검표!$E$2:$E$91),),ROW($B28))-1),"")</f>
        <v/>
      </c>
      <c r="I122" s="73"/>
      <c r="J122" s="73"/>
    </row>
    <row r="123" spans="1:10" ht="16.5">
      <c r="A123" s="73"/>
      <c r="B123" s="99" t="str">
        <f t="array" ref="B123">IFERROR(INDEX(고객사점검표!A$2:A$91,1/LARGE(INDEX(((고객사점검표!$F$2:$F$91="점검 완료")*(고객사점검표!B$2:B$91&lt;&gt;"기본 항목"))/ROW(고객사점검표!$E$2:$E$91),),ROW($B29))-1),"")</f>
        <v/>
      </c>
      <c r="C123" s="28" t="str">
        <f t="array" ref="C123">IFERROR(INDEX(고객사점검표!B$2:B$91,1/LARGE(INDEX(((고객사점검표!$F$2:$F$91="점검 완료")*(고객사점검표!B$2:B$91&lt;&gt;"기본 항목"))/ROW(고객사점검표!$E$2:$E$91),),ROW($B29))-1),"")</f>
        <v/>
      </c>
      <c r="D123" s="28" t="str">
        <f t="array" ref="D123">IFERROR(INDEX(고객사점검표!C$2:C$91,1/LARGE(INDEX(((고객사점검표!$F$2:$F$91="점검 완료")*(고객사점검표!B$2:B$91&lt;&gt;"기본 항목"))/ROW(고객사점검표!$E$2:$E$91),),ROW($B29))-1),"")</f>
        <v/>
      </c>
      <c r="E123" s="28" t="str">
        <f t="array" ref="E123">IFERROR(INDEX(고객사점검표!D$2:D$91,1/LARGE(INDEX(((고객사점검표!$F$2:$F$91="점검 완료")*(고객사점검표!B$2:B$91&lt;&gt;"기본 항목"))/ROW(고객사점검표!$E$2:$E$91),),ROW($B29))-1),"")</f>
        <v/>
      </c>
      <c r="F123" s="28" t="str">
        <f t="array" ref="F123">IFERROR(INDEX(고객사점검표!E$2:E$91,1/LARGE(INDEX(((고객사점검표!$F$2:$F$91="점검 완료")*(고객사점검표!B$2:B$91&lt;&gt;"기본 항목"))/ROW(고객사점검표!$E$2:$E$91),),ROW($B29))-1),"")</f>
        <v/>
      </c>
      <c r="G123" s="85" t="str">
        <f t="array" ref="G123">IFERROR(INDEX(고객사점검표!F$2:F$91,1/LARGE(INDEX(((고객사점검표!$F$2:$F$91="점검 완료")*(고객사점검표!B$2:B$91&lt;&gt;"기본 항목"))/ROW(고객사점검표!$E$2:$E$91),),ROW($B29))-1),"")</f>
        <v/>
      </c>
      <c r="H123" s="100" t="str">
        <f t="array" ref="H123">IFERROR(INDEX(고객사점검표!G$2:G$91,1/LARGE(INDEX(((고객사점검표!$F$2:$F$91="점검 완료")*(고객사점검표!B$2:B$91&lt;&gt;"기본 항목"))/ROW(고객사점검표!$E$2:$E$91),),ROW($B29))-1),"")</f>
        <v/>
      </c>
      <c r="I123" s="73"/>
      <c r="J123" s="73"/>
    </row>
    <row r="124" spans="1:10" ht="16.5">
      <c r="A124" s="73"/>
      <c r="B124" s="99" t="str">
        <f t="array" ref="B124">IFERROR(INDEX(고객사점검표!A$2:A$91,1/LARGE(INDEX(((고객사점검표!$F$2:$F$91="점검 완료")*(고객사점검표!B$2:B$91&lt;&gt;"기본 항목"))/ROW(고객사점검표!$E$2:$E$91),),ROW($B30))-1),"")</f>
        <v/>
      </c>
      <c r="C124" s="28" t="str">
        <f t="array" ref="C124">IFERROR(INDEX(고객사점검표!B$2:B$91,1/LARGE(INDEX(((고객사점검표!$F$2:$F$91="점검 완료")*(고객사점검표!B$2:B$91&lt;&gt;"기본 항목"))/ROW(고객사점검표!$E$2:$E$91),),ROW($B30))-1),"")</f>
        <v/>
      </c>
      <c r="D124" s="28" t="str">
        <f t="array" ref="D124">IFERROR(INDEX(고객사점검표!C$2:C$91,1/LARGE(INDEX(((고객사점검표!$F$2:$F$91="점검 완료")*(고객사점검표!B$2:B$91&lt;&gt;"기본 항목"))/ROW(고객사점검표!$E$2:$E$91),),ROW($B30))-1),"")</f>
        <v/>
      </c>
      <c r="E124" s="28" t="str">
        <f t="array" ref="E124">IFERROR(INDEX(고객사점검표!D$2:D$91,1/LARGE(INDEX(((고객사점검표!$F$2:$F$91="점검 완료")*(고객사점검표!B$2:B$91&lt;&gt;"기본 항목"))/ROW(고객사점검표!$E$2:$E$91),),ROW($B30))-1),"")</f>
        <v/>
      </c>
      <c r="F124" s="28" t="str">
        <f t="array" ref="F124">IFERROR(INDEX(고객사점검표!E$2:E$91,1/LARGE(INDEX(((고객사점검표!$F$2:$F$91="점검 완료")*(고객사점검표!B$2:B$91&lt;&gt;"기본 항목"))/ROW(고객사점검표!$E$2:$E$91),),ROW($B30))-1),"")</f>
        <v/>
      </c>
      <c r="G124" s="85" t="str">
        <f t="array" ref="G124">IFERROR(INDEX(고객사점검표!F$2:F$91,1/LARGE(INDEX(((고객사점검표!$F$2:$F$91="점검 완료")*(고객사점검표!B$2:B$91&lt;&gt;"기본 항목"))/ROW(고객사점검표!$E$2:$E$91),),ROW($B30))-1),"")</f>
        <v/>
      </c>
      <c r="H124" s="100" t="str">
        <f t="array" ref="H124">IFERROR(INDEX(고객사점검표!G$2:G$91,1/LARGE(INDEX(((고객사점검표!$F$2:$F$91="점검 완료")*(고객사점검표!B$2:B$91&lt;&gt;"기본 항목"))/ROW(고객사점검표!$E$2:$E$91),),ROW($B30))-1),"")</f>
        <v/>
      </c>
      <c r="I124" s="73"/>
      <c r="J124" s="73"/>
    </row>
    <row r="125" spans="1:10" ht="16.5">
      <c r="A125" s="73"/>
      <c r="B125" s="99" t="str">
        <f t="array" ref="B125">IFERROR(INDEX(고객사점검표!A$2:A$91,1/LARGE(INDEX(((고객사점검표!$F$2:$F$91="점검 완료")*(고객사점검표!B$2:B$91&lt;&gt;"기본 항목"))/ROW(고객사점검표!$E$2:$E$91),),ROW($B31))-1),"")</f>
        <v/>
      </c>
      <c r="C125" s="28" t="str">
        <f t="array" ref="C125">IFERROR(INDEX(고객사점검표!B$2:B$91,1/LARGE(INDEX(((고객사점검표!$F$2:$F$91="점검 완료")*(고객사점검표!B$2:B$91&lt;&gt;"기본 항목"))/ROW(고객사점검표!$E$2:$E$91),),ROW($B31))-1),"")</f>
        <v/>
      </c>
      <c r="D125" s="28" t="str">
        <f t="array" ref="D125">IFERROR(INDEX(고객사점검표!C$2:C$91,1/LARGE(INDEX(((고객사점검표!$F$2:$F$91="점검 완료")*(고객사점검표!B$2:B$91&lt;&gt;"기본 항목"))/ROW(고객사점검표!$E$2:$E$91),),ROW($B31))-1),"")</f>
        <v/>
      </c>
      <c r="E125" s="28" t="str">
        <f t="array" ref="E125">IFERROR(INDEX(고객사점검표!D$2:D$91,1/LARGE(INDEX(((고객사점검표!$F$2:$F$91="점검 완료")*(고객사점검표!B$2:B$91&lt;&gt;"기본 항목"))/ROW(고객사점검표!$E$2:$E$91),),ROW($B31))-1),"")</f>
        <v/>
      </c>
      <c r="F125" s="28" t="str">
        <f t="array" ref="F125">IFERROR(INDEX(고객사점검표!E$2:E$91,1/LARGE(INDEX(((고객사점검표!$F$2:$F$91="점검 완료")*(고객사점검표!B$2:B$91&lt;&gt;"기본 항목"))/ROW(고객사점검표!$E$2:$E$91),),ROW($B31))-1),"")</f>
        <v/>
      </c>
      <c r="G125" s="85" t="str">
        <f t="array" ref="G125">IFERROR(INDEX(고객사점검표!F$2:F$91,1/LARGE(INDEX(((고객사점검표!$F$2:$F$91="점검 완료")*(고객사점검표!B$2:B$91&lt;&gt;"기본 항목"))/ROW(고객사점검표!$E$2:$E$91),),ROW($B31))-1),"")</f>
        <v/>
      </c>
      <c r="H125" s="100" t="str">
        <f t="array" ref="H125">IFERROR(INDEX(고객사점검표!G$2:G$91,1/LARGE(INDEX(((고객사점검표!$F$2:$F$91="점검 완료")*(고객사점검표!B$2:B$91&lt;&gt;"기본 항목"))/ROW(고객사점검표!$E$2:$E$91),),ROW($B31))-1),"")</f>
        <v/>
      </c>
      <c r="I125" s="73"/>
      <c r="J125" s="73"/>
    </row>
    <row r="126" spans="1:10" ht="16.5">
      <c r="A126" s="73"/>
      <c r="B126" s="99" t="str">
        <f t="array" ref="B126">IFERROR(INDEX(고객사점검표!A$2:A$91,1/LARGE(INDEX(((고객사점검표!$F$2:$F$91="점검 완료")*(고객사점검표!B$2:B$91&lt;&gt;"기본 항목"))/ROW(고객사점검표!$E$2:$E$91),),ROW($B32))-1),"")</f>
        <v/>
      </c>
      <c r="C126" s="28" t="str">
        <f t="array" ref="C126">IFERROR(INDEX(고객사점검표!B$2:B$91,1/LARGE(INDEX(((고객사점검표!$F$2:$F$91="점검 완료")*(고객사점검표!B$2:B$91&lt;&gt;"기본 항목"))/ROW(고객사점검표!$E$2:$E$91),),ROW($B32))-1),"")</f>
        <v/>
      </c>
      <c r="D126" s="28" t="str">
        <f t="array" ref="D126">IFERROR(INDEX(고객사점검표!C$2:C$91,1/LARGE(INDEX(((고객사점검표!$F$2:$F$91="점검 완료")*(고객사점검표!B$2:B$91&lt;&gt;"기본 항목"))/ROW(고객사점검표!$E$2:$E$91),),ROW($B32))-1),"")</f>
        <v/>
      </c>
      <c r="E126" s="28" t="str">
        <f t="array" ref="E126">IFERROR(INDEX(고객사점검표!D$2:D$91,1/LARGE(INDEX(((고객사점검표!$F$2:$F$91="점검 완료")*(고객사점검표!B$2:B$91&lt;&gt;"기본 항목"))/ROW(고객사점검표!$E$2:$E$91),),ROW($B32))-1),"")</f>
        <v/>
      </c>
      <c r="F126" s="28" t="str">
        <f t="array" ref="F126">IFERROR(INDEX(고객사점검표!E$2:E$91,1/LARGE(INDEX(((고객사점검표!$F$2:$F$91="점검 완료")*(고객사점검표!B$2:B$91&lt;&gt;"기본 항목"))/ROW(고객사점검표!$E$2:$E$91),),ROW($B32))-1),"")</f>
        <v/>
      </c>
      <c r="G126" s="85" t="str">
        <f t="array" ref="G126">IFERROR(INDEX(고객사점검표!F$2:F$91,1/LARGE(INDEX(((고객사점검표!$F$2:$F$91="점검 완료")*(고객사점검표!B$2:B$91&lt;&gt;"기본 항목"))/ROW(고객사점검표!$E$2:$E$91),),ROW($B32))-1),"")</f>
        <v/>
      </c>
      <c r="H126" s="100" t="str">
        <f t="array" ref="H126">IFERROR(INDEX(고객사점검표!G$2:G$91,1/LARGE(INDEX(((고객사점검표!$F$2:$F$91="점검 완료")*(고객사점검표!B$2:B$91&lt;&gt;"기본 항목"))/ROW(고객사점검표!$E$2:$E$91),),ROW($B32))-1),"")</f>
        <v/>
      </c>
      <c r="I126" s="73"/>
      <c r="J126" s="73"/>
    </row>
    <row r="127" spans="1:10" ht="16.5">
      <c r="A127" s="73"/>
      <c r="B127" s="99" t="str">
        <f t="array" ref="B127">IFERROR(INDEX(고객사점검표!A$2:A$91,1/LARGE(INDEX(((고객사점검표!$F$2:$F$91="점검 완료")*(고객사점검표!B$2:B$91&lt;&gt;"기본 항목"))/ROW(고객사점검표!$E$2:$E$91),),ROW($B33))-1),"")</f>
        <v/>
      </c>
      <c r="C127" s="28" t="str">
        <f t="array" ref="C127">IFERROR(INDEX(고객사점검표!B$2:B$91,1/LARGE(INDEX(((고객사점검표!$F$2:$F$91="점검 완료")*(고객사점검표!B$2:B$91&lt;&gt;"기본 항목"))/ROW(고객사점검표!$E$2:$E$91),),ROW($B33))-1),"")</f>
        <v/>
      </c>
      <c r="D127" s="28" t="str">
        <f t="array" ref="D127">IFERROR(INDEX(고객사점검표!C$2:C$91,1/LARGE(INDEX(((고객사점검표!$F$2:$F$91="점검 완료")*(고객사점검표!B$2:B$91&lt;&gt;"기본 항목"))/ROW(고객사점검표!$E$2:$E$91),),ROW($B33))-1),"")</f>
        <v/>
      </c>
      <c r="E127" s="28" t="str">
        <f t="array" ref="E127">IFERROR(INDEX(고객사점검표!D$2:D$91,1/LARGE(INDEX(((고객사점검표!$F$2:$F$91="점검 완료")*(고객사점검표!B$2:B$91&lt;&gt;"기본 항목"))/ROW(고객사점검표!$E$2:$E$91),),ROW($B33))-1),"")</f>
        <v/>
      </c>
      <c r="F127" s="28" t="str">
        <f t="array" ref="F127">IFERROR(INDEX(고객사점검표!E$2:E$91,1/LARGE(INDEX(((고객사점검표!$F$2:$F$91="점검 완료")*(고객사점검표!B$2:B$91&lt;&gt;"기본 항목"))/ROW(고객사점검표!$E$2:$E$91),),ROW($B33))-1),"")</f>
        <v/>
      </c>
      <c r="G127" s="85" t="str">
        <f t="array" ref="G127">IFERROR(INDEX(고객사점검표!F$2:F$91,1/LARGE(INDEX(((고객사점검표!$F$2:$F$91="점검 완료")*(고객사점검표!B$2:B$91&lt;&gt;"기본 항목"))/ROW(고객사점검표!$E$2:$E$91),),ROW($B33))-1),"")</f>
        <v/>
      </c>
      <c r="H127" s="100" t="str">
        <f t="array" ref="H127">IFERROR(INDEX(고객사점검표!G$2:G$91,1/LARGE(INDEX(((고객사점검표!$F$2:$F$91="점검 완료")*(고객사점검표!B$2:B$91&lt;&gt;"기본 항목"))/ROW(고객사점검표!$E$2:$E$91),),ROW($B33))-1),"")</f>
        <v/>
      </c>
      <c r="I127" s="73"/>
      <c r="J127" s="73"/>
    </row>
    <row r="128" spans="1:10" ht="16.5">
      <c r="A128" s="73"/>
      <c r="B128" s="99" t="str">
        <f t="array" ref="B128">IFERROR(INDEX(고객사점검표!A$2:A$91,1/LARGE(INDEX(((고객사점검표!$F$2:$F$91="점검 완료")*(고객사점검표!B$2:B$91&lt;&gt;"기본 항목"))/ROW(고객사점검표!$E$2:$E$91),),ROW($B34))-1),"")</f>
        <v/>
      </c>
      <c r="C128" s="28" t="str">
        <f t="array" ref="C128">IFERROR(INDEX(고객사점검표!B$2:B$91,1/LARGE(INDEX(((고객사점검표!$F$2:$F$91="점검 완료")*(고객사점검표!B$2:B$91&lt;&gt;"기본 항목"))/ROW(고객사점검표!$E$2:$E$91),),ROW($B34))-1),"")</f>
        <v/>
      </c>
      <c r="D128" s="28" t="str">
        <f t="array" ref="D128">IFERROR(INDEX(고객사점검표!C$2:C$91,1/LARGE(INDEX(((고객사점검표!$F$2:$F$91="점검 완료")*(고객사점검표!B$2:B$91&lt;&gt;"기본 항목"))/ROW(고객사점검표!$E$2:$E$91),),ROW($B34))-1),"")</f>
        <v/>
      </c>
      <c r="E128" s="28" t="str">
        <f t="array" ref="E128">IFERROR(INDEX(고객사점검표!D$2:D$91,1/LARGE(INDEX(((고객사점검표!$F$2:$F$91="점검 완료")*(고객사점검표!B$2:B$91&lt;&gt;"기본 항목"))/ROW(고객사점검표!$E$2:$E$91),),ROW($B34))-1),"")</f>
        <v/>
      </c>
      <c r="F128" s="28" t="str">
        <f t="array" ref="F128">IFERROR(INDEX(고객사점검표!E$2:E$91,1/LARGE(INDEX(((고객사점검표!$F$2:$F$91="점검 완료")*(고객사점검표!B$2:B$91&lt;&gt;"기본 항목"))/ROW(고객사점검표!$E$2:$E$91),),ROW($B34))-1),"")</f>
        <v/>
      </c>
      <c r="G128" s="85" t="str">
        <f t="array" ref="G128">IFERROR(INDEX(고객사점검표!F$2:F$91,1/LARGE(INDEX(((고객사점검표!$F$2:$F$91="점검 완료")*(고객사점검표!B$2:B$91&lt;&gt;"기본 항목"))/ROW(고객사점검표!$E$2:$E$91),),ROW($B34))-1),"")</f>
        <v/>
      </c>
      <c r="H128" s="100" t="str">
        <f t="array" ref="H128">IFERROR(INDEX(고객사점검표!G$2:G$91,1/LARGE(INDEX(((고객사점검표!$F$2:$F$91="점검 완료")*(고객사점검표!B$2:B$91&lt;&gt;"기본 항목"))/ROW(고객사점검표!$E$2:$E$91),),ROW($B34))-1),"")</f>
        <v/>
      </c>
      <c r="I128" s="73"/>
      <c r="J128" s="73"/>
    </row>
    <row r="129" spans="1:10" ht="16.5">
      <c r="A129" s="73"/>
      <c r="B129" s="99" t="str">
        <f t="array" ref="B129">IFERROR(INDEX(고객사점검표!A$2:A$91,1/LARGE(INDEX(((고객사점검표!$F$2:$F$91="점검 완료")*(고객사점검표!B$2:B$91&lt;&gt;"기본 항목"))/ROW(고객사점검표!$E$2:$E$91),),ROW($B35))-1),"")</f>
        <v/>
      </c>
      <c r="C129" s="28" t="str">
        <f t="array" ref="C129">IFERROR(INDEX(고객사점검표!B$2:B$91,1/LARGE(INDEX(((고객사점검표!$F$2:$F$91="점검 완료")*(고객사점검표!B$2:B$91&lt;&gt;"기본 항목"))/ROW(고객사점검표!$E$2:$E$91),),ROW($B35))-1),"")</f>
        <v/>
      </c>
      <c r="D129" s="28" t="str">
        <f t="array" ref="D129">IFERROR(INDEX(고객사점검표!C$2:C$91,1/LARGE(INDEX(((고객사점검표!$F$2:$F$91="점검 완료")*(고객사점검표!B$2:B$91&lt;&gt;"기본 항목"))/ROW(고객사점검표!$E$2:$E$91),),ROW($B35))-1),"")</f>
        <v/>
      </c>
      <c r="E129" s="28" t="str">
        <f t="array" ref="E129">IFERROR(INDEX(고객사점검표!D$2:D$91,1/LARGE(INDEX(((고객사점검표!$F$2:$F$91="점검 완료")*(고객사점검표!B$2:B$91&lt;&gt;"기본 항목"))/ROW(고객사점검표!$E$2:$E$91),),ROW($B35))-1),"")</f>
        <v/>
      </c>
      <c r="F129" s="28" t="str">
        <f t="array" ref="F129">IFERROR(INDEX(고객사점검표!E$2:E$91,1/LARGE(INDEX(((고객사점검표!$F$2:$F$91="점검 완료")*(고객사점검표!B$2:B$91&lt;&gt;"기본 항목"))/ROW(고객사점검표!$E$2:$E$91),),ROW($B35))-1),"")</f>
        <v/>
      </c>
      <c r="G129" s="85" t="str">
        <f t="array" ref="G129">IFERROR(INDEX(고객사점검표!F$2:F$91,1/LARGE(INDEX(((고객사점검표!$F$2:$F$91="점검 완료")*(고객사점검표!B$2:B$91&lt;&gt;"기본 항목"))/ROW(고객사점검표!$E$2:$E$91),),ROW($B35))-1),"")</f>
        <v/>
      </c>
      <c r="H129" s="100" t="str">
        <f t="array" ref="H129">IFERROR(INDEX(고객사점검표!G$2:G$91,1/LARGE(INDEX(((고객사점검표!$F$2:$F$91="점검 완료")*(고객사점검표!B$2:B$91&lt;&gt;"기본 항목"))/ROW(고객사점검표!$E$2:$E$91),),ROW($B35))-1),"")</f>
        <v/>
      </c>
      <c r="I129" s="73"/>
      <c r="J129" s="73"/>
    </row>
    <row r="130" spans="1:10" ht="16.5">
      <c r="A130" s="73"/>
      <c r="B130" s="99" t="str">
        <f t="array" ref="B130">IFERROR(INDEX(고객사점검표!A$2:A$91,1/LARGE(INDEX(((고객사점검표!$F$2:$F$91="점검 완료")*(고객사점검표!B$2:B$91&lt;&gt;"기본 항목"))/ROW(고객사점검표!$E$2:$E$91),),ROW($B36))-1),"")</f>
        <v/>
      </c>
      <c r="C130" s="28" t="str">
        <f t="array" ref="C130">IFERROR(INDEX(고객사점검표!B$2:B$91,1/LARGE(INDEX(((고객사점검표!$F$2:$F$91="점검 완료")*(고객사점검표!B$2:B$91&lt;&gt;"기본 항목"))/ROW(고객사점검표!$E$2:$E$91),),ROW($B36))-1),"")</f>
        <v/>
      </c>
      <c r="D130" s="28" t="str">
        <f t="array" ref="D130">IFERROR(INDEX(고객사점검표!C$2:C$91,1/LARGE(INDEX(((고객사점검표!$F$2:$F$91="점검 완료")*(고객사점검표!B$2:B$91&lt;&gt;"기본 항목"))/ROW(고객사점검표!$E$2:$E$91),),ROW($B36))-1),"")</f>
        <v/>
      </c>
      <c r="E130" s="28" t="str">
        <f t="array" ref="E130">IFERROR(INDEX(고객사점검표!D$2:D$91,1/LARGE(INDEX(((고객사점검표!$F$2:$F$91="점검 완료")*(고객사점검표!B$2:B$91&lt;&gt;"기본 항목"))/ROW(고객사점검표!$E$2:$E$91),),ROW($B36))-1),"")</f>
        <v/>
      </c>
      <c r="F130" s="28" t="str">
        <f t="array" ref="F130">IFERROR(INDEX(고객사점검표!E$2:E$91,1/LARGE(INDEX(((고객사점검표!$F$2:$F$91="점검 완료")*(고객사점검표!B$2:B$91&lt;&gt;"기본 항목"))/ROW(고객사점검표!$E$2:$E$91),),ROW($B36))-1),"")</f>
        <v/>
      </c>
      <c r="G130" s="85" t="str">
        <f t="array" ref="G130">IFERROR(INDEX(고객사점검표!F$2:F$91,1/LARGE(INDEX(((고객사점검표!$F$2:$F$91="점검 완료")*(고객사점검표!B$2:B$91&lt;&gt;"기본 항목"))/ROW(고객사점검표!$E$2:$E$91),),ROW($B36))-1),"")</f>
        <v/>
      </c>
      <c r="H130" s="100" t="str">
        <f t="array" ref="H130">IFERROR(INDEX(고객사점검표!G$2:G$91,1/LARGE(INDEX(((고객사점검표!$F$2:$F$91="점검 완료")*(고객사점검표!B$2:B$91&lt;&gt;"기본 항목"))/ROW(고객사점검표!$E$2:$E$91),),ROW($B36))-1),"")</f>
        <v/>
      </c>
      <c r="I130" s="73"/>
      <c r="J130" s="73"/>
    </row>
    <row r="131" spans="1:10" ht="13.5" customHeight="1">
      <c r="A131" s="73"/>
      <c r="B131" s="99" t="str">
        <f t="array" ref="B131">IFERROR(INDEX(고객사점검표!A$2:A$91,1/LARGE(INDEX(((고객사점검표!$F$2:$F$91="점검 완료")*(고객사점검표!B$2:B$91&lt;&gt;"기본 항목"))/ROW(고객사점검표!$E$2:$E$91),),ROW($B37))-1),"")</f>
        <v/>
      </c>
      <c r="C131" s="28" t="str">
        <f t="array" ref="C131">IFERROR(INDEX(고객사점검표!B$2:B$91,1/LARGE(INDEX(((고객사점검표!$F$2:$F$91="점검 완료")*(고객사점검표!B$2:B$91&lt;&gt;"기본 항목"))/ROW(고객사점검표!$E$2:$E$91),),ROW($B37))-1),"")</f>
        <v/>
      </c>
      <c r="D131" s="28" t="str">
        <f t="array" ref="D131">IFERROR(INDEX(고객사점검표!C$2:C$91,1/LARGE(INDEX(((고객사점검표!$F$2:$F$91="점검 완료")*(고객사점검표!B$2:B$91&lt;&gt;"기본 항목"))/ROW(고객사점검표!$E$2:$E$91),),ROW($B37))-1),"")</f>
        <v/>
      </c>
      <c r="E131" s="28" t="str">
        <f t="array" ref="E131">IFERROR(INDEX(고객사점검표!D$2:D$91,1/LARGE(INDEX(((고객사점검표!$F$2:$F$91="점검 완료")*(고객사점검표!B$2:B$91&lt;&gt;"기본 항목"))/ROW(고객사점검표!$E$2:$E$91),),ROW($B37))-1),"")</f>
        <v/>
      </c>
      <c r="F131" s="28" t="str">
        <f t="array" ref="F131">IFERROR(INDEX(고객사점검표!E$2:E$91,1/LARGE(INDEX(((고객사점검표!$F$2:$F$91="점검 완료")*(고객사점검표!B$2:B$91&lt;&gt;"기본 항목"))/ROW(고객사점검표!$E$2:$E$91),),ROW($B37))-1),"")</f>
        <v/>
      </c>
      <c r="G131" s="85" t="str">
        <f t="array" ref="G131">IFERROR(INDEX(고객사점검표!F$2:F$91,1/LARGE(INDEX(((고객사점검표!$F$2:$F$91="점검 완료")*(고객사점검표!B$2:B$91&lt;&gt;"기본 항목"))/ROW(고객사점검표!$E$2:$E$91),),ROW($B37))-1),"")</f>
        <v/>
      </c>
      <c r="H131" s="100" t="str">
        <f t="array" ref="H131">IFERROR(INDEX(고객사점검표!G$2:G$91,1/LARGE(INDEX(((고객사점검표!$F$2:$F$91="점검 완료")*(고객사점검표!B$2:B$91&lt;&gt;"기본 항목"))/ROW(고객사점검표!$E$2:$E$91),),ROW($B37))-1),"")</f>
        <v/>
      </c>
      <c r="I131" s="73"/>
      <c r="J131" s="73"/>
    </row>
    <row r="132" spans="1:10" ht="13.5" customHeight="1">
      <c r="A132" s="73"/>
      <c r="B132" s="99" t="str">
        <f t="array" ref="B132">IFERROR(INDEX(고객사점검표!A$2:A$91,1/LARGE(INDEX(((고객사점검표!$F$2:$F$91="점검 완료")*(고객사점검표!B$2:B$91&lt;&gt;"기본 항목"))/ROW(고객사점검표!$E$2:$E$91),),ROW($B38))-1),"")</f>
        <v/>
      </c>
      <c r="C132" s="28" t="str">
        <f t="array" ref="C132">IFERROR(INDEX(고객사점검표!B$2:B$91,1/LARGE(INDEX(((고객사점검표!$F$2:$F$91="점검 완료")*(고객사점검표!B$2:B$91&lt;&gt;"기본 항목"))/ROW(고객사점검표!$E$2:$E$91),),ROW($B38))-1),"")</f>
        <v/>
      </c>
      <c r="D132" s="28" t="str">
        <f t="array" ref="D132">IFERROR(INDEX(고객사점검표!C$2:C$91,1/LARGE(INDEX(((고객사점검표!$F$2:$F$91="점검 완료")*(고객사점검표!B$2:B$91&lt;&gt;"기본 항목"))/ROW(고객사점검표!$E$2:$E$91),),ROW($B38))-1),"")</f>
        <v/>
      </c>
      <c r="E132" s="28" t="str">
        <f t="array" ref="E132">IFERROR(INDEX(고객사점검표!D$2:D$91,1/LARGE(INDEX(((고객사점검표!$F$2:$F$91="점검 완료")*(고객사점검표!B$2:B$91&lt;&gt;"기본 항목"))/ROW(고객사점검표!$E$2:$E$91),),ROW($B38))-1),"")</f>
        <v/>
      </c>
      <c r="F132" s="28" t="str">
        <f t="array" ref="F132">IFERROR(INDEX(고객사점검표!E$2:E$91,1/LARGE(INDEX(((고객사점검표!$F$2:$F$91="점검 완료")*(고객사점검표!B$2:B$91&lt;&gt;"기본 항목"))/ROW(고객사점검표!$E$2:$E$91),),ROW($B38))-1),"")</f>
        <v/>
      </c>
      <c r="G132" s="85" t="str">
        <f t="array" ref="G132">IFERROR(INDEX(고객사점검표!F$2:F$91,1/LARGE(INDEX(((고객사점검표!$F$2:$F$91="점검 완료")*(고객사점검표!B$2:B$91&lt;&gt;"기본 항목"))/ROW(고객사점검표!$E$2:$E$91),),ROW($B38))-1),"")</f>
        <v/>
      </c>
      <c r="H132" s="100" t="str">
        <f t="array" ref="H132">IFERROR(INDEX(고객사점검표!G$2:G$91,1/LARGE(INDEX(((고객사점검표!$F$2:$F$91="점검 완료")*(고객사점검표!B$2:B$91&lt;&gt;"기본 항목"))/ROW(고객사점검표!$E$2:$E$91),),ROW($B38))-1),"")</f>
        <v/>
      </c>
      <c r="I132" s="73"/>
      <c r="J132" s="73"/>
    </row>
    <row r="133" spans="1:10" ht="13.5" customHeight="1">
      <c r="A133" s="50"/>
      <c r="B133" s="99" t="str">
        <f t="array" ref="B133">IFERROR(INDEX(고객사점검표!A$2:A$91,1/LARGE(INDEX(((고객사점검표!$F$2:$F$91="점검 완료")*(고객사점검표!B$2:B$91&lt;&gt;"기본 항목"))/ROW(고객사점검표!$E$2:$E$91),),ROW($B39))-1),"")</f>
        <v/>
      </c>
      <c r="C133" s="28" t="str">
        <f t="array" ref="C133">IFERROR(INDEX(고객사점검표!B$2:B$91,1/LARGE(INDEX(((고객사점검표!$F$2:$F$91="점검 완료")*(고객사점검표!B$2:B$91&lt;&gt;"기본 항목"))/ROW(고객사점검표!$E$2:$E$91),),ROW($B39))-1),"")</f>
        <v/>
      </c>
      <c r="D133" s="28" t="str">
        <f t="array" ref="D133">IFERROR(INDEX(고객사점검표!C$2:C$91,1/LARGE(INDEX(((고객사점검표!$F$2:$F$91="점검 완료")*(고객사점검표!B$2:B$91&lt;&gt;"기본 항목"))/ROW(고객사점검표!$E$2:$E$91),),ROW($B39))-1),"")</f>
        <v/>
      </c>
      <c r="E133" s="28" t="str">
        <f t="array" ref="E133">IFERROR(INDEX(고객사점검표!D$2:D$91,1/LARGE(INDEX(((고객사점검표!$F$2:$F$91="점검 완료")*(고객사점검표!B$2:B$91&lt;&gt;"기본 항목"))/ROW(고객사점검표!$E$2:$E$91),),ROW($B39))-1),"")</f>
        <v/>
      </c>
      <c r="F133" s="28" t="str">
        <f t="array" ref="F133">IFERROR(INDEX(고객사점검표!E$2:E$91,1/LARGE(INDEX(((고객사점검표!$F$2:$F$91="점검 완료")*(고객사점검표!B$2:B$91&lt;&gt;"기본 항목"))/ROW(고객사점검표!$E$2:$E$91),),ROW($B39))-1),"")</f>
        <v/>
      </c>
      <c r="G133" s="85" t="str">
        <f t="array" ref="G133">IFERROR(INDEX(고객사점검표!F$2:F$91,1/LARGE(INDEX(((고객사점검표!$F$2:$F$91="점검 완료")*(고객사점검표!B$2:B$91&lt;&gt;"기본 항목"))/ROW(고객사점검표!$E$2:$E$91),),ROW($B39))-1),"")</f>
        <v/>
      </c>
      <c r="H133" s="100" t="str">
        <f t="array" ref="H133">IFERROR(INDEX(고객사점검표!G$2:G$91,1/LARGE(INDEX(((고객사점검표!$F$2:$F$91="점검 완료")*(고객사점검표!B$2:B$91&lt;&gt;"기본 항목"))/ROW(고객사점검표!$E$2:$E$91),),ROW($B39))-1),"")</f>
        <v/>
      </c>
      <c r="I133" s="50"/>
      <c r="J133" s="50"/>
    </row>
    <row r="134" spans="1:10" ht="13.5" customHeight="1">
      <c r="A134" s="50"/>
      <c r="B134" s="99" t="str">
        <f t="array" ref="B134">IFERROR(INDEX(고객사점검표!A$2:A$91,1/LARGE(INDEX(((고객사점검표!$F$2:$F$91="점검 완료")*(고객사점검표!B$2:B$91&lt;&gt;"기본 항목"))/ROW(고객사점검표!$E$2:$E$91),),ROW($B40))-1),"")</f>
        <v/>
      </c>
      <c r="C134" s="28" t="str">
        <f t="array" ref="C134">IFERROR(INDEX(고객사점검표!B$2:B$91,1/LARGE(INDEX(((고객사점검표!$F$2:$F$91="점검 완료")*(고객사점검표!B$2:B$91&lt;&gt;"기본 항목"))/ROW(고객사점검표!$E$2:$E$91),),ROW($B40))-1),"")</f>
        <v/>
      </c>
      <c r="D134" s="28" t="str">
        <f t="array" ref="D134">IFERROR(INDEX(고객사점검표!C$2:C$91,1/LARGE(INDEX(((고객사점검표!$F$2:$F$91="점검 완료")*(고객사점검표!B$2:B$91&lt;&gt;"기본 항목"))/ROW(고객사점검표!$E$2:$E$91),),ROW($B40))-1),"")</f>
        <v/>
      </c>
      <c r="E134" s="28" t="str">
        <f t="array" ref="E134">IFERROR(INDEX(고객사점검표!D$2:D$91,1/LARGE(INDEX(((고객사점검표!$F$2:$F$91="점검 완료")*(고객사점검표!B$2:B$91&lt;&gt;"기본 항목"))/ROW(고객사점검표!$E$2:$E$91),),ROW($B40))-1),"")</f>
        <v/>
      </c>
      <c r="F134" s="28" t="str">
        <f t="array" ref="F134">IFERROR(INDEX(고객사점검표!E$2:E$91,1/LARGE(INDEX(((고객사점검표!$F$2:$F$91="점검 완료")*(고객사점검표!B$2:B$91&lt;&gt;"기본 항목"))/ROW(고객사점검표!$E$2:$E$91),),ROW($B40))-1),"")</f>
        <v/>
      </c>
      <c r="G134" s="85" t="str">
        <f t="array" ref="G134">IFERROR(INDEX(고객사점검표!F$2:F$91,1/LARGE(INDEX(((고객사점검표!$F$2:$F$91="점검 완료")*(고객사점검표!B$2:B$91&lt;&gt;"기본 항목"))/ROW(고객사점검표!$E$2:$E$91),),ROW($B40))-1),"")</f>
        <v/>
      </c>
      <c r="H134" s="100" t="str">
        <f t="array" ref="H134">IFERROR(INDEX(고객사점검표!G$2:G$91,1/LARGE(INDEX(((고객사점검표!$F$2:$F$91="점검 완료")*(고객사점검표!B$2:B$91&lt;&gt;"기본 항목"))/ROW(고객사점검표!$E$2:$E$91),),ROW($B40))-1),"")</f>
        <v/>
      </c>
      <c r="I134" s="50"/>
      <c r="J134" s="50"/>
    </row>
    <row r="135" spans="1:10" ht="13.5" customHeight="1">
      <c r="A135" s="50"/>
      <c r="B135" s="99" t="str">
        <f t="array" ref="B135">IFERROR(INDEX(고객사점검표!A$2:A$91,1/LARGE(INDEX(((고객사점검표!$F$2:$F$91="점검 완료")*(고객사점검표!B$2:B$91&lt;&gt;"기본 항목"))/ROW(고객사점검표!$E$2:$E$91),),ROW($B41))-1),"")</f>
        <v/>
      </c>
      <c r="C135" s="28" t="str">
        <f t="array" ref="C135">IFERROR(INDEX(고객사점검표!B$2:B$91,1/LARGE(INDEX(((고객사점검표!$F$2:$F$91="점검 완료")*(고객사점검표!B$2:B$91&lt;&gt;"기본 항목"))/ROW(고객사점검표!$E$2:$E$91),),ROW($B41))-1),"")</f>
        <v/>
      </c>
      <c r="D135" s="28" t="str">
        <f t="array" ref="D135">IFERROR(INDEX(고객사점검표!C$2:C$91,1/LARGE(INDEX(((고객사점검표!$F$2:$F$91="점검 완료")*(고객사점검표!B$2:B$91&lt;&gt;"기본 항목"))/ROW(고객사점검표!$E$2:$E$91),),ROW($B41))-1),"")</f>
        <v/>
      </c>
      <c r="E135" s="28" t="str">
        <f t="array" ref="E135">IFERROR(INDEX(고객사점검표!D$2:D$91,1/LARGE(INDEX(((고객사점검표!$F$2:$F$91="점검 완료")*(고객사점검표!B$2:B$91&lt;&gt;"기본 항목"))/ROW(고객사점검표!$E$2:$E$91),),ROW($B41))-1),"")</f>
        <v/>
      </c>
      <c r="F135" s="28" t="str">
        <f t="array" ref="F135">IFERROR(INDEX(고객사점검표!E$2:E$91,1/LARGE(INDEX(((고객사점검표!$F$2:$F$91="점검 완료")*(고객사점검표!B$2:B$91&lt;&gt;"기본 항목"))/ROW(고객사점검표!$E$2:$E$91),),ROW($B41))-1),"")</f>
        <v/>
      </c>
      <c r="G135" s="85" t="str">
        <f t="array" ref="G135">IFERROR(INDEX(고객사점검표!F$2:F$91,1/LARGE(INDEX(((고객사점검표!$F$2:$F$91="점검 완료")*(고객사점검표!B$2:B$91&lt;&gt;"기본 항목"))/ROW(고객사점검표!$E$2:$E$91),),ROW($B41))-1),"")</f>
        <v/>
      </c>
      <c r="H135" s="100" t="str">
        <f t="array" ref="H135">IFERROR(INDEX(고객사점검표!G$2:G$91,1/LARGE(INDEX(((고객사점검표!$F$2:$F$91="점검 완료")*(고객사점검표!B$2:B$91&lt;&gt;"기본 항목"))/ROW(고객사점검표!$E$2:$E$91),),ROW($B41))-1),"")</f>
        <v/>
      </c>
      <c r="I135" s="50"/>
      <c r="J135" s="50"/>
    </row>
    <row r="136" spans="1:10" ht="13.5" customHeight="1">
      <c r="A136" s="50"/>
      <c r="B136" s="99" t="str">
        <f t="array" ref="B136">IFERROR(INDEX(고객사점검표!A$2:A$91,1/LARGE(INDEX(((고객사점검표!$F$2:$F$91="점검 완료")*(고객사점검표!B$2:B$91&lt;&gt;"기본 항목"))/ROW(고객사점검표!$E$2:$E$91),),ROW($B42))-1),"")</f>
        <v/>
      </c>
      <c r="C136" s="28" t="str">
        <f t="array" ref="C136">IFERROR(INDEX(고객사점검표!B$2:B$91,1/LARGE(INDEX(((고객사점검표!$F$2:$F$91="점검 완료")*(고객사점검표!B$2:B$91&lt;&gt;"기본 항목"))/ROW(고객사점검표!$E$2:$E$91),),ROW($B42))-1),"")</f>
        <v/>
      </c>
      <c r="D136" s="28" t="str">
        <f t="array" ref="D136">IFERROR(INDEX(고객사점검표!C$2:C$91,1/LARGE(INDEX(((고객사점검표!$F$2:$F$91="점검 완료")*(고객사점검표!B$2:B$91&lt;&gt;"기본 항목"))/ROW(고객사점검표!$E$2:$E$91),),ROW($B42))-1),"")</f>
        <v/>
      </c>
      <c r="E136" s="101"/>
      <c r="F136" s="28" t="str">
        <f t="array" ref="F136">IFERROR(INDEX(고객사점검표!E$2:E$91,1/LARGE(INDEX(((고객사점검표!$F$2:$F$91="점검 완료")*(고객사점검표!B$2:B$91&lt;&gt;"기본 항목"))/ROW(고객사점검표!$E$2:$E$91),),ROW($B42))-1),"")</f>
        <v/>
      </c>
      <c r="G136" s="85" t="str">
        <f t="array" ref="G136">IFERROR(INDEX(고객사점검표!F$2:F$91,1/LARGE(INDEX(((고객사점검표!$F$2:$F$91="점검 완료")*(고객사점검표!B$2:B$91&lt;&gt;"기본 항목"))/ROW(고객사점검표!$E$2:$E$91),),ROW($B42))-1),"")</f>
        <v/>
      </c>
      <c r="H136" s="100" t="str">
        <f t="array" ref="H136">IFERROR(INDEX(고객사점검표!G$2:G$91,1/LARGE(INDEX(((고객사점검표!$F$2:$F$91="점검 완료")*(고객사점검표!B$2:B$91&lt;&gt;"기본 항목"))/ROW(고객사점검표!$E$2:$E$91),),ROW($B42))-1),"")</f>
        <v/>
      </c>
      <c r="I136" s="50"/>
      <c r="J136" s="50"/>
    </row>
    <row r="137" spans="1:10" ht="13.5" customHeight="1">
      <c r="A137" s="50"/>
      <c r="B137" s="99" t="str">
        <f t="array" ref="B137">IFERROR(INDEX(고객사점검표!A$2:A$91,1/LARGE(INDEX(((고객사점검표!$F$2:$F$91="점검 완료")*(고객사점검표!B$2:B$91&lt;&gt;"기본 항목"))/ROW(고객사점검표!$E$2:$E$91),),ROW($B43))-1),"")</f>
        <v/>
      </c>
      <c r="C137" s="28" t="str">
        <f t="array" ref="C137">IFERROR(INDEX(고객사점검표!B$2:B$91,1/LARGE(INDEX(((고객사점검표!$F$2:$F$91="점검 완료")*(고객사점검표!B$2:B$91&lt;&gt;"기본 항목"))/ROW(고객사점검표!$E$2:$E$91),),ROW($B43))-1),"")</f>
        <v/>
      </c>
      <c r="D137" s="28" t="str">
        <f t="array" ref="D137">IFERROR(INDEX(고객사점검표!C$2:C$91,1/LARGE(INDEX(((고객사점검표!$F$2:$F$91="점검 완료")*(고객사점검표!B$2:B$91&lt;&gt;"기본 항목"))/ROW(고객사점검표!$E$2:$E$91),),ROW($B43))-1),"")</f>
        <v/>
      </c>
      <c r="E137" s="101"/>
      <c r="F137" s="101"/>
      <c r="G137" s="85" t="str">
        <f t="array" ref="G137">IFERROR(INDEX(고객사점검표!F$2:F$91,1/LARGE(INDEX(((고객사점검표!$F$2:$F$91="점검 완료")*(고객사점검표!B$2:B$91&lt;&gt;"기본 항목"))/ROW(고객사점검표!$E$2:$E$91),),ROW($B43))-1),"")</f>
        <v/>
      </c>
      <c r="H137" s="100" t="str">
        <f t="array" ref="H137">IFERROR(INDEX(고객사점검표!G$2:G$91,1/LARGE(INDEX(((고객사점검표!$F$2:$F$91="점검 완료")*(고객사점검표!B$2:B$91&lt;&gt;"기본 항목"))/ROW(고객사점검표!$E$2:$E$91),),ROW($B43))-1),"")</f>
        <v/>
      </c>
      <c r="I137" s="50"/>
      <c r="J137" s="50"/>
    </row>
    <row r="138" spans="1:10" ht="13.5" customHeight="1">
      <c r="A138" s="50"/>
      <c r="B138" s="99" t="str">
        <f t="array" ref="B138">IFERROR(INDEX(고객사점검표!A$2:A$91,1/LARGE(INDEX(((고객사점검표!$F$2:$F$91="점검 완료")*(고객사점검표!B$2:B$91&lt;&gt;"기본 항목"))/ROW(고객사점검표!$E$2:$E$91),),ROW($B44))-1),"")</f>
        <v/>
      </c>
      <c r="C138" s="28" t="str">
        <f t="array" ref="C138">IFERROR(INDEX(고객사점검표!B$2:B$91,1/LARGE(INDEX(((고객사점검표!$F$2:$F$91="점검 완료")*(고객사점검표!B$2:B$91&lt;&gt;"기본 항목"))/ROW(고객사점검표!$E$2:$E$91),),ROW($B44))-1),"")</f>
        <v/>
      </c>
      <c r="D138" s="101"/>
      <c r="E138" s="101"/>
      <c r="F138" s="101"/>
      <c r="G138" s="85" t="str">
        <f t="array" ref="G138">IFERROR(INDEX(고객사점검표!F$2:F$91,1/LARGE(INDEX(((고객사점검표!$F$2:$F$91="점검 완료")*(고객사점검표!B$2:B$91&lt;&gt;"기본 항목"))/ROW(고객사점검표!$E$2:$E$91),),ROW($B44))-1),"")</f>
        <v/>
      </c>
      <c r="H138" s="102"/>
      <c r="I138" s="50"/>
      <c r="J138" s="50"/>
    </row>
    <row r="139" spans="1:10" ht="13.5" customHeight="1">
      <c r="A139" s="50"/>
      <c r="B139" s="99" t="str">
        <f t="array" ref="B139">IFERROR(INDEX(고객사점검표!A$2:A$91,1/LARGE(INDEX(((고객사점검표!$F$2:$F$91="점검 완료")*(고객사점검표!B$2:B$91&lt;&gt;"기본 항목"))/ROW(고객사점검표!$E$2:$E$91),),ROW($B45))-1),"")</f>
        <v/>
      </c>
      <c r="C139" s="28" t="str">
        <f t="array" ref="C139">IFERROR(INDEX(고객사점검표!B$2:B$91,1/LARGE(INDEX(((고객사점검표!$F$2:$F$91="점검 완료")*(고객사점검표!B$2:B$91&lt;&gt;"기본 항목"))/ROW(고객사점검표!$E$2:$E$91),),ROW($B45))-1),"")</f>
        <v/>
      </c>
      <c r="D139" s="101"/>
      <c r="E139" s="101"/>
      <c r="F139" s="101"/>
      <c r="G139" s="103"/>
      <c r="H139" s="102"/>
      <c r="I139" s="50"/>
      <c r="J139" s="50"/>
    </row>
    <row r="140" spans="1:10" ht="13.5" customHeight="1">
      <c r="A140" s="50"/>
      <c r="B140" s="104"/>
      <c r="C140" s="105"/>
      <c r="D140" s="105"/>
      <c r="E140" s="105"/>
      <c r="F140" s="105"/>
      <c r="G140" s="106"/>
      <c r="H140" s="107"/>
      <c r="I140" s="50"/>
      <c r="J140" s="50"/>
    </row>
    <row r="141" spans="1:10" ht="13.5" customHeight="1">
      <c r="A141" s="50"/>
      <c r="B141" s="50"/>
      <c r="C141" s="50"/>
      <c r="D141" s="50"/>
      <c r="E141" s="51"/>
      <c r="F141" s="50"/>
      <c r="G141" s="51"/>
      <c r="H141" s="50"/>
      <c r="I141" s="50"/>
      <c r="J141" s="50"/>
    </row>
    <row r="142" spans="1:10" ht="13.5" customHeight="1">
      <c r="A142" s="50"/>
      <c r="B142" s="50"/>
      <c r="C142" s="50"/>
      <c r="D142" s="50"/>
      <c r="E142" s="51"/>
      <c r="F142" s="50"/>
      <c r="G142" s="51"/>
      <c r="H142" s="50"/>
      <c r="I142" s="50"/>
      <c r="J142" s="50"/>
    </row>
    <row r="143" spans="1:10" ht="13.5" customHeight="1">
      <c r="A143" s="50"/>
      <c r="B143" s="50"/>
      <c r="C143" s="50"/>
      <c r="D143" s="50"/>
      <c r="E143" s="51"/>
      <c r="F143" s="50"/>
      <c r="G143" s="51"/>
      <c r="H143" s="50"/>
      <c r="I143" s="50"/>
      <c r="J143" s="50"/>
    </row>
    <row r="144" spans="1:10" ht="13.5" customHeight="1">
      <c r="A144" s="50"/>
      <c r="B144" s="50"/>
      <c r="C144" s="50"/>
      <c r="D144" s="50"/>
      <c r="E144" s="51"/>
      <c r="F144" s="50"/>
      <c r="G144" s="51"/>
      <c r="H144" s="50"/>
      <c r="I144" s="50"/>
      <c r="J144" s="50"/>
    </row>
    <row r="145" spans="1:10" ht="13.5" customHeight="1">
      <c r="A145" s="50"/>
      <c r="B145" s="50"/>
      <c r="C145" s="50"/>
      <c r="D145" s="50"/>
      <c r="E145" s="51"/>
      <c r="F145" s="50"/>
      <c r="G145" s="51"/>
      <c r="H145" s="50"/>
      <c r="I145" s="50"/>
      <c r="J145" s="50"/>
    </row>
    <row r="146" spans="1:10" ht="13.5" customHeight="1">
      <c r="A146" s="50"/>
      <c r="B146" s="50"/>
      <c r="C146" s="50"/>
      <c r="D146" s="50"/>
      <c r="E146" s="51"/>
      <c r="F146" s="50"/>
      <c r="G146" s="51"/>
      <c r="H146" s="50"/>
      <c r="I146" s="50"/>
      <c r="J146" s="50"/>
    </row>
    <row r="147" spans="1:10" ht="13.5" customHeight="1">
      <c r="A147" s="50"/>
      <c r="B147" s="50"/>
      <c r="C147" s="50"/>
      <c r="D147" s="50"/>
      <c r="E147" s="51"/>
      <c r="F147" s="50"/>
      <c r="G147" s="51"/>
      <c r="H147" s="50"/>
      <c r="I147" s="50"/>
      <c r="J147" s="50"/>
    </row>
    <row r="148" spans="1:10" ht="13.5" customHeight="1">
      <c r="A148" s="50"/>
      <c r="B148" s="50"/>
      <c r="C148" s="50"/>
      <c r="D148" s="50"/>
      <c r="E148" s="51"/>
      <c r="F148" s="50"/>
      <c r="G148" s="51"/>
      <c r="H148" s="50"/>
      <c r="I148" s="50"/>
      <c r="J148" s="50"/>
    </row>
    <row r="149" spans="1:10" ht="13.5" customHeight="1">
      <c r="A149" s="50"/>
      <c r="B149" s="50"/>
      <c r="C149" s="50"/>
      <c r="D149" s="50"/>
      <c r="E149" s="51"/>
      <c r="F149" s="50"/>
      <c r="G149" s="51"/>
      <c r="H149" s="50"/>
      <c r="I149" s="50"/>
      <c r="J149" s="50"/>
    </row>
    <row r="150" spans="1:10" ht="13.5" customHeight="1">
      <c r="A150" s="50"/>
      <c r="B150" s="50"/>
      <c r="C150" s="50"/>
      <c r="D150" s="50"/>
      <c r="E150" s="51"/>
      <c r="F150" s="50"/>
      <c r="G150" s="51"/>
      <c r="H150" s="50"/>
      <c r="I150" s="50"/>
      <c r="J150" s="50"/>
    </row>
    <row r="151" spans="1:10" ht="13.5" customHeight="1">
      <c r="A151" s="50"/>
      <c r="B151" s="50"/>
      <c r="C151" s="50"/>
      <c r="D151" s="50"/>
      <c r="E151" s="51"/>
      <c r="F151" s="50"/>
      <c r="G151" s="51"/>
      <c r="H151" s="50"/>
      <c r="I151" s="50"/>
      <c r="J151" s="50"/>
    </row>
    <row r="152" spans="1:10" ht="13.5" customHeight="1">
      <c r="A152" s="50"/>
      <c r="B152" s="50"/>
      <c r="C152" s="50"/>
      <c r="D152" s="50"/>
      <c r="E152" s="51"/>
      <c r="F152" s="50"/>
      <c r="G152" s="51"/>
      <c r="H152" s="50"/>
      <c r="I152" s="50"/>
      <c r="J152" s="50"/>
    </row>
    <row r="153" spans="1:10" ht="13.5" customHeight="1">
      <c r="A153" s="50"/>
      <c r="B153" s="50"/>
      <c r="C153" s="50"/>
      <c r="D153" s="50"/>
      <c r="E153" s="51"/>
      <c r="F153" s="50"/>
      <c r="G153" s="51"/>
      <c r="H153" s="50"/>
      <c r="I153" s="50"/>
      <c r="J153" s="50"/>
    </row>
    <row r="154" spans="1:10" ht="13.5" customHeight="1">
      <c r="A154" s="50"/>
      <c r="B154" s="50"/>
      <c r="C154" s="50"/>
      <c r="D154" s="50"/>
      <c r="E154" s="51"/>
      <c r="F154" s="50"/>
      <c r="G154" s="51"/>
      <c r="H154" s="50"/>
      <c r="I154" s="50"/>
      <c r="J154" s="50"/>
    </row>
    <row r="155" spans="1:10" ht="13.5" customHeight="1">
      <c r="A155" s="50"/>
      <c r="B155" s="50"/>
      <c r="C155" s="50"/>
      <c r="D155" s="50"/>
      <c r="E155" s="51"/>
      <c r="F155" s="50"/>
      <c r="G155" s="51"/>
      <c r="H155" s="50"/>
      <c r="I155" s="50"/>
      <c r="J155" s="50"/>
    </row>
    <row r="156" spans="1:10" ht="13.5" customHeight="1">
      <c r="A156" s="50"/>
      <c r="B156" s="50"/>
      <c r="C156" s="50"/>
      <c r="D156" s="50"/>
      <c r="E156" s="51"/>
      <c r="F156" s="50"/>
      <c r="G156" s="51"/>
      <c r="H156" s="50"/>
      <c r="I156" s="50"/>
      <c r="J156" s="50"/>
    </row>
    <row r="157" spans="1:10" ht="13.5" customHeight="1">
      <c r="A157" s="50"/>
      <c r="B157" s="50"/>
      <c r="C157" s="50"/>
      <c r="D157" s="50"/>
      <c r="E157" s="51"/>
      <c r="F157" s="50"/>
      <c r="G157" s="51"/>
      <c r="H157" s="50"/>
      <c r="I157" s="50"/>
      <c r="J157" s="50"/>
    </row>
    <row r="158" spans="1:10" ht="13.5" customHeight="1">
      <c r="A158" s="50"/>
      <c r="B158" s="50"/>
      <c r="C158" s="50"/>
      <c r="D158" s="50"/>
      <c r="E158" s="51"/>
      <c r="F158" s="50"/>
      <c r="G158" s="51"/>
      <c r="H158" s="50"/>
      <c r="I158" s="50"/>
      <c r="J158" s="50"/>
    </row>
    <row r="159" spans="1:10" ht="13.5" customHeight="1">
      <c r="A159" s="50"/>
      <c r="B159" s="50"/>
      <c r="C159" s="50"/>
      <c r="D159" s="50"/>
      <c r="E159" s="51"/>
      <c r="F159" s="50"/>
      <c r="G159" s="51"/>
      <c r="H159" s="50"/>
      <c r="I159" s="50"/>
      <c r="J159" s="50"/>
    </row>
    <row r="160" spans="1:10" ht="13.5" customHeight="1">
      <c r="A160" s="50"/>
      <c r="B160" s="50"/>
      <c r="C160" s="50"/>
      <c r="D160" s="50"/>
      <c r="E160" s="51"/>
      <c r="F160" s="50"/>
      <c r="G160" s="51"/>
      <c r="H160" s="50"/>
      <c r="I160" s="50"/>
      <c r="J160" s="50"/>
    </row>
    <row r="161" spans="1:10" ht="13.5" customHeight="1">
      <c r="A161" s="50"/>
      <c r="B161" s="50"/>
      <c r="C161" s="50"/>
      <c r="D161" s="50"/>
      <c r="E161" s="51"/>
      <c r="F161" s="50"/>
      <c r="G161" s="51"/>
      <c r="H161" s="50"/>
      <c r="I161" s="50"/>
      <c r="J161" s="50"/>
    </row>
    <row r="162" spans="1:10" ht="13.5" customHeight="1">
      <c r="A162" s="50"/>
      <c r="B162" s="50"/>
      <c r="C162" s="50"/>
      <c r="D162" s="50"/>
      <c r="E162" s="51"/>
      <c r="F162" s="50"/>
      <c r="G162" s="51"/>
      <c r="H162" s="50"/>
      <c r="I162" s="50"/>
      <c r="J162" s="50"/>
    </row>
    <row r="163" spans="1:10" ht="13.5" customHeight="1">
      <c r="A163" s="50"/>
      <c r="B163" s="50"/>
      <c r="C163" s="50"/>
      <c r="D163" s="50"/>
      <c r="E163" s="51"/>
      <c r="F163" s="50"/>
      <c r="G163" s="51"/>
      <c r="H163" s="50"/>
      <c r="I163" s="50"/>
      <c r="J163" s="50"/>
    </row>
    <row r="164" spans="1:10" ht="13.5" customHeight="1">
      <c r="A164" s="50"/>
      <c r="B164" s="50"/>
      <c r="C164" s="50"/>
      <c r="D164" s="50"/>
      <c r="E164" s="51"/>
      <c r="F164" s="50"/>
      <c r="G164" s="51"/>
      <c r="H164" s="50"/>
      <c r="I164" s="50"/>
      <c r="J164" s="50"/>
    </row>
    <row r="165" spans="1:10" ht="13.5" customHeight="1">
      <c r="A165" s="50"/>
      <c r="B165" s="50"/>
      <c r="C165" s="50"/>
      <c r="D165" s="50"/>
      <c r="E165" s="51"/>
      <c r="F165" s="50"/>
      <c r="G165" s="51"/>
      <c r="H165" s="50"/>
      <c r="I165" s="50"/>
      <c r="J165" s="50"/>
    </row>
    <row r="166" spans="1:10" ht="13.5" customHeight="1">
      <c r="A166" s="50"/>
      <c r="B166" s="50"/>
      <c r="C166" s="50"/>
      <c r="D166" s="50"/>
      <c r="E166" s="51"/>
      <c r="F166" s="50"/>
      <c r="G166" s="51"/>
      <c r="H166" s="50"/>
      <c r="I166" s="50"/>
      <c r="J166" s="50"/>
    </row>
    <row r="167" spans="1:10" ht="13.5" customHeight="1">
      <c r="A167" s="50"/>
      <c r="B167" s="50"/>
      <c r="C167" s="50"/>
      <c r="D167" s="50"/>
      <c r="E167" s="51"/>
      <c r="F167" s="50"/>
      <c r="G167" s="51"/>
      <c r="H167" s="50"/>
      <c r="I167" s="50"/>
      <c r="J167" s="50"/>
    </row>
    <row r="168" spans="1:10" ht="13.5" customHeight="1">
      <c r="A168" s="50"/>
      <c r="B168" s="50"/>
      <c r="C168" s="50"/>
      <c r="D168" s="50"/>
      <c r="E168" s="51"/>
      <c r="F168" s="50"/>
      <c r="G168" s="51"/>
      <c r="H168" s="50"/>
      <c r="I168" s="50"/>
      <c r="J168" s="50"/>
    </row>
    <row r="169" spans="1:10" ht="13.5" customHeight="1">
      <c r="A169" s="50"/>
      <c r="B169" s="50"/>
      <c r="C169" s="50"/>
      <c r="D169" s="50"/>
      <c r="E169" s="51"/>
      <c r="F169" s="50"/>
      <c r="G169" s="51"/>
      <c r="H169" s="50"/>
      <c r="I169" s="50"/>
      <c r="J169" s="50"/>
    </row>
    <row r="170" spans="1:10" ht="13.5" customHeight="1">
      <c r="A170" s="50"/>
      <c r="B170" s="50"/>
      <c r="C170" s="50"/>
      <c r="D170" s="50"/>
      <c r="E170" s="51"/>
      <c r="F170" s="50"/>
      <c r="G170" s="51"/>
      <c r="H170" s="50"/>
      <c r="I170" s="50"/>
      <c r="J170" s="50"/>
    </row>
    <row r="171" spans="1:10" ht="13.5" customHeight="1">
      <c r="A171" s="50"/>
      <c r="B171" s="50"/>
      <c r="C171" s="50"/>
      <c r="D171" s="50"/>
      <c r="E171" s="51"/>
      <c r="F171" s="50"/>
      <c r="G171" s="51"/>
      <c r="H171" s="50"/>
      <c r="I171" s="50"/>
      <c r="J171" s="50"/>
    </row>
    <row r="172" spans="1:10" ht="13.5" customHeight="1">
      <c r="A172" s="50"/>
      <c r="B172" s="50"/>
      <c r="C172" s="50"/>
      <c r="D172" s="50"/>
      <c r="E172" s="51"/>
      <c r="F172" s="50"/>
      <c r="G172" s="51"/>
      <c r="H172" s="50"/>
      <c r="I172" s="50"/>
      <c r="J172" s="50"/>
    </row>
    <row r="173" spans="1:10" ht="13.5" customHeight="1">
      <c r="A173" s="50"/>
      <c r="B173" s="50"/>
      <c r="C173" s="50"/>
      <c r="D173" s="50"/>
      <c r="E173" s="51"/>
      <c r="F173" s="50"/>
      <c r="G173" s="51"/>
      <c r="H173" s="50"/>
      <c r="I173" s="50"/>
      <c r="J173" s="50"/>
    </row>
    <row r="174" spans="1:10" ht="13.5" customHeight="1">
      <c r="A174" s="50"/>
      <c r="B174" s="50"/>
      <c r="C174" s="50"/>
      <c r="D174" s="50"/>
      <c r="E174" s="51"/>
      <c r="F174" s="50"/>
      <c r="G174" s="51"/>
      <c r="H174" s="50"/>
      <c r="I174" s="50"/>
      <c r="J174" s="50"/>
    </row>
    <row r="175" spans="1:10" ht="13.5" customHeight="1">
      <c r="A175" s="50"/>
      <c r="B175" s="50"/>
      <c r="C175" s="50"/>
      <c r="D175" s="50"/>
      <c r="E175" s="51"/>
      <c r="F175" s="50"/>
      <c r="G175" s="51"/>
      <c r="H175" s="50"/>
      <c r="I175" s="50"/>
      <c r="J175" s="50"/>
    </row>
    <row r="176" spans="1:10" ht="13.5" customHeight="1">
      <c r="A176" s="50"/>
      <c r="B176" s="50"/>
      <c r="C176" s="50"/>
      <c r="D176" s="50"/>
      <c r="E176" s="51"/>
      <c r="F176" s="50"/>
      <c r="G176" s="51"/>
      <c r="H176" s="50"/>
      <c r="I176" s="50"/>
      <c r="J176" s="50"/>
    </row>
    <row r="177" spans="1:10" ht="13.5" customHeight="1">
      <c r="A177" s="50"/>
      <c r="B177" s="50"/>
      <c r="C177" s="50"/>
      <c r="D177" s="50"/>
      <c r="E177" s="51"/>
      <c r="F177" s="50"/>
      <c r="G177" s="51"/>
      <c r="H177" s="50"/>
      <c r="I177" s="50"/>
      <c r="J177" s="50"/>
    </row>
    <row r="178" spans="1:10" ht="13.5" customHeight="1">
      <c r="A178" s="50"/>
      <c r="B178" s="50"/>
      <c r="C178" s="50"/>
      <c r="D178" s="50"/>
      <c r="E178" s="51"/>
      <c r="F178" s="50"/>
      <c r="G178" s="51"/>
      <c r="H178" s="50"/>
      <c r="I178" s="50"/>
      <c r="J178" s="50"/>
    </row>
    <row r="179" spans="1:10" ht="13.5" customHeight="1">
      <c r="A179" s="50"/>
      <c r="B179" s="50"/>
      <c r="C179" s="50"/>
      <c r="D179" s="50"/>
      <c r="E179" s="51"/>
      <c r="F179" s="50"/>
      <c r="G179" s="51"/>
      <c r="H179" s="50"/>
      <c r="I179" s="50"/>
      <c r="J179" s="50"/>
    </row>
    <row r="180" spans="1:10" ht="13.5" customHeight="1">
      <c r="A180" s="50"/>
      <c r="B180" s="50"/>
      <c r="C180" s="50"/>
      <c r="D180" s="50"/>
      <c r="E180" s="51"/>
      <c r="F180" s="50"/>
      <c r="G180" s="51"/>
      <c r="H180" s="50"/>
      <c r="I180" s="50"/>
      <c r="J180" s="50"/>
    </row>
    <row r="181" spans="1:10" ht="13.5" customHeight="1">
      <c r="A181" s="50"/>
      <c r="B181" s="50"/>
      <c r="C181" s="50"/>
      <c r="D181" s="50"/>
      <c r="E181" s="51"/>
      <c r="F181" s="50"/>
      <c r="G181" s="51"/>
      <c r="H181" s="50"/>
      <c r="I181" s="50"/>
      <c r="J181" s="50"/>
    </row>
    <row r="182" spans="1:10" ht="13.5" customHeight="1">
      <c r="A182" s="50"/>
      <c r="B182" s="50"/>
      <c r="C182" s="50"/>
      <c r="D182" s="50"/>
      <c r="E182" s="51"/>
      <c r="F182" s="50"/>
      <c r="G182" s="51"/>
      <c r="H182" s="50"/>
      <c r="I182" s="50"/>
      <c r="J182" s="50"/>
    </row>
    <row r="183" spans="1:10" ht="13.5" customHeight="1">
      <c r="A183" s="50"/>
      <c r="B183" s="50"/>
      <c r="C183" s="50"/>
      <c r="D183" s="50"/>
      <c r="E183" s="51"/>
      <c r="F183" s="50"/>
      <c r="G183" s="51"/>
      <c r="H183" s="50"/>
      <c r="I183" s="50"/>
      <c r="J183" s="50"/>
    </row>
    <row r="184" spans="1:10" ht="13.5" customHeight="1">
      <c r="A184" s="50"/>
      <c r="B184" s="50"/>
      <c r="C184" s="50"/>
      <c r="D184" s="50"/>
      <c r="E184" s="51"/>
      <c r="F184" s="50"/>
      <c r="G184" s="51"/>
      <c r="H184" s="50"/>
      <c r="I184" s="50"/>
      <c r="J184" s="50"/>
    </row>
    <row r="185" spans="1:10" ht="13.5" customHeight="1">
      <c r="A185" s="50"/>
      <c r="B185" s="50"/>
      <c r="C185" s="50"/>
      <c r="D185" s="50"/>
      <c r="E185" s="51"/>
      <c r="F185" s="50"/>
      <c r="G185" s="51"/>
      <c r="H185" s="50"/>
      <c r="I185" s="50"/>
      <c r="J185" s="50"/>
    </row>
    <row r="186" spans="1:10" ht="13.5" customHeight="1">
      <c r="A186" s="50"/>
      <c r="B186" s="50"/>
      <c r="C186" s="50"/>
      <c r="D186" s="50"/>
      <c r="E186" s="51"/>
      <c r="F186" s="50"/>
      <c r="G186" s="51"/>
      <c r="H186" s="50"/>
      <c r="I186" s="50"/>
      <c r="J186" s="50"/>
    </row>
    <row r="187" spans="1:10" ht="13.5" customHeight="1">
      <c r="A187" s="50"/>
      <c r="B187" s="50"/>
      <c r="C187" s="50"/>
      <c r="D187" s="50"/>
      <c r="E187" s="51"/>
      <c r="F187" s="50"/>
      <c r="G187" s="51"/>
      <c r="H187" s="50"/>
      <c r="I187" s="50"/>
      <c r="J187" s="50"/>
    </row>
    <row r="188" spans="1:10" ht="13.5" customHeight="1">
      <c r="A188" s="50"/>
      <c r="B188" s="50"/>
      <c r="C188" s="50"/>
      <c r="D188" s="50"/>
      <c r="E188" s="51"/>
      <c r="F188" s="50"/>
      <c r="G188" s="51"/>
      <c r="H188" s="50"/>
      <c r="I188" s="50"/>
      <c r="J188" s="50"/>
    </row>
    <row r="189" spans="1:10" ht="13.5" customHeight="1">
      <c r="A189" s="50"/>
      <c r="B189" s="50"/>
      <c r="C189" s="50"/>
      <c r="D189" s="50"/>
      <c r="E189" s="51"/>
      <c r="F189" s="50"/>
      <c r="G189" s="51"/>
      <c r="H189" s="50"/>
      <c r="I189" s="50"/>
      <c r="J189" s="50"/>
    </row>
    <row r="190" spans="1:10" ht="13.5" customHeight="1">
      <c r="A190" s="50"/>
      <c r="B190" s="50"/>
      <c r="C190" s="50"/>
      <c r="D190" s="50"/>
      <c r="E190" s="51"/>
      <c r="F190" s="50"/>
      <c r="G190" s="51"/>
      <c r="H190" s="50"/>
      <c r="I190" s="50"/>
      <c r="J190" s="50"/>
    </row>
    <row r="191" spans="1:10" ht="13.5" customHeight="1">
      <c r="A191" s="50"/>
      <c r="B191" s="50"/>
      <c r="C191" s="50"/>
      <c r="D191" s="50"/>
      <c r="E191" s="51"/>
      <c r="F191" s="50"/>
      <c r="G191" s="51"/>
      <c r="H191" s="50"/>
      <c r="I191" s="50"/>
      <c r="J191" s="50"/>
    </row>
    <row r="192" spans="1:10" ht="13.5" customHeight="1">
      <c r="A192" s="50"/>
      <c r="B192" s="50"/>
      <c r="C192" s="50"/>
      <c r="D192" s="50"/>
      <c r="E192" s="51"/>
      <c r="F192" s="50"/>
      <c r="G192" s="51"/>
      <c r="H192" s="50"/>
      <c r="I192" s="50"/>
      <c r="J192" s="50"/>
    </row>
    <row r="193" spans="1:10" ht="13.5" customHeight="1">
      <c r="A193" s="50"/>
      <c r="B193" s="50"/>
      <c r="C193" s="50"/>
      <c r="D193" s="50"/>
      <c r="E193" s="51"/>
      <c r="F193" s="50"/>
      <c r="G193" s="51"/>
      <c r="H193" s="50"/>
      <c r="I193" s="50"/>
      <c r="J193" s="50"/>
    </row>
    <row r="194" spans="1:10" ht="13.5" customHeight="1">
      <c r="A194" s="50"/>
      <c r="B194" s="50"/>
      <c r="C194" s="50"/>
      <c r="D194" s="50"/>
      <c r="E194" s="51"/>
      <c r="F194" s="50"/>
      <c r="G194" s="51"/>
      <c r="H194" s="50"/>
      <c r="I194" s="50"/>
      <c r="J194" s="50"/>
    </row>
    <row r="195" spans="1:10" ht="13.5" customHeight="1">
      <c r="A195" s="50"/>
      <c r="B195" s="50"/>
      <c r="C195" s="50"/>
      <c r="D195" s="50"/>
      <c r="E195" s="51"/>
      <c r="F195" s="50"/>
      <c r="G195" s="51"/>
      <c r="H195" s="50"/>
      <c r="I195" s="50"/>
      <c r="J195" s="50"/>
    </row>
    <row r="196" spans="1:10" ht="13.5" customHeight="1">
      <c r="A196" s="50"/>
      <c r="B196" s="50"/>
      <c r="C196" s="50"/>
      <c r="D196" s="50"/>
      <c r="E196" s="51"/>
      <c r="F196" s="50"/>
      <c r="G196" s="51"/>
      <c r="H196" s="50"/>
      <c r="I196" s="50"/>
      <c r="J196" s="50"/>
    </row>
    <row r="197" spans="1:10" ht="13.5" customHeight="1">
      <c r="A197" s="50"/>
      <c r="B197" s="50"/>
      <c r="C197" s="50"/>
      <c r="D197" s="50"/>
      <c r="E197" s="51"/>
      <c r="F197" s="50"/>
      <c r="G197" s="51"/>
      <c r="H197" s="50"/>
      <c r="I197" s="50"/>
      <c r="J197" s="50"/>
    </row>
    <row r="198" spans="1:10" ht="13.5" customHeight="1">
      <c r="A198" s="50"/>
      <c r="B198" s="50"/>
      <c r="C198" s="50"/>
      <c r="D198" s="50"/>
      <c r="E198" s="51"/>
      <c r="F198" s="50"/>
      <c r="G198" s="51"/>
      <c r="H198" s="50"/>
      <c r="I198" s="50"/>
      <c r="J198" s="50"/>
    </row>
    <row r="199" spans="1:10" ht="13.5" customHeight="1">
      <c r="A199" s="50"/>
      <c r="B199" s="50"/>
      <c r="C199" s="50"/>
      <c r="D199" s="50"/>
      <c r="E199" s="51"/>
      <c r="F199" s="50"/>
      <c r="G199" s="51"/>
      <c r="H199" s="50"/>
      <c r="I199" s="50"/>
      <c r="J199" s="50"/>
    </row>
    <row r="200" spans="1:10" ht="13.5" customHeight="1">
      <c r="A200" s="50"/>
      <c r="B200" s="50"/>
      <c r="C200" s="50"/>
      <c r="D200" s="50"/>
      <c r="E200" s="51"/>
      <c r="F200" s="50"/>
      <c r="G200" s="51"/>
      <c r="H200" s="50"/>
      <c r="I200" s="50"/>
      <c r="J200" s="50"/>
    </row>
  </sheetData>
  <mergeCells count="3">
    <mergeCell ref="B2:H2"/>
    <mergeCell ref="C8:D8"/>
    <mergeCell ref="B11:C11"/>
  </mergeCells>
  <phoneticPr fontId="34" type="noConversion"/>
  <conditionalFormatting sqref="G1:G12 G14:G90 H9">
    <cfRule type="cellIs" dxfId="8" priority="1" operator="equal">
      <formula>"확인 불가"</formula>
    </cfRule>
  </conditionalFormatting>
  <conditionalFormatting sqref="G1:G12 G14:G90 H9">
    <cfRule type="cellIs" dxfId="7" priority="2" operator="equal">
      <formula>"점검 완료"</formula>
    </cfRule>
  </conditionalFormatting>
  <conditionalFormatting sqref="G1:G12 G14:G90 H9">
    <cfRule type="cellIs" dxfId="6" priority="3" operator="equal">
      <formula>"조치 권고"</formula>
    </cfRule>
  </conditionalFormatting>
  <conditionalFormatting sqref="G95:G140">
    <cfRule type="cellIs" dxfId="5" priority="4" operator="equal">
      <formula>"확인 불가"</formula>
    </cfRule>
  </conditionalFormatting>
  <conditionalFormatting sqref="G95:G140">
    <cfRule type="cellIs" dxfId="4" priority="5" operator="equal">
      <formula>"점검 완료"</formula>
    </cfRule>
  </conditionalFormatting>
  <conditionalFormatting sqref="G95:G140">
    <cfRule type="cellIs" dxfId="3" priority="6" operator="equal">
      <formula>"조치 권고"</formula>
    </cfRule>
  </conditionalFormatting>
  <conditionalFormatting sqref="E14:E93 E95:E200">
    <cfRule type="cellIs" dxfId="2" priority="7" operator="equal">
      <formula>"상"</formula>
    </cfRule>
  </conditionalFormatting>
  <conditionalFormatting sqref="E14:E93 E95:E200">
    <cfRule type="cellIs" dxfId="1" priority="8" operator="equal">
      <formula>"중"</formula>
    </cfRule>
  </conditionalFormatting>
  <conditionalFormatting sqref="E14:E93 E95:E200">
    <cfRule type="cellIs" dxfId="0" priority="9" operator="equal">
      <formula>"하"</formula>
    </cfRule>
  </conditionalFormatting>
  <pageMargins left="0.43307086614173229" right="0.23622047244094491" top="0.35433070866141736" bottom="0.35433070866141736" header="0" footer="0"/>
  <pageSetup paperSize="9" fitToHeight="0" orientation="landscape"/>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문서 개요</vt:lpstr>
      <vt:lpstr>고객사점검표</vt:lpstr>
      <vt:lpstr>고객사제공(new)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MZC01-HANBJ</dc:creator>
  <cp:lastModifiedBy>(MZC MSC) 허동진</cp:lastModifiedBy>
  <dcterms:created xsi:type="dcterms:W3CDTF">2021-02-01T05:22:30Z</dcterms:created>
  <dcterms:modified xsi:type="dcterms:W3CDTF">2026-05-08T08:43:35Z</dcterms:modified>
</cp:coreProperties>
</file>